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1. CDM Schema Registry" sheetId="2" state="visible" r:id="rId2"/>
    <sheet xmlns:r="http://schemas.openxmlformats.org/officeDocument/2006/relationships" name="2. CDM to BDE Mapping" sheetId="3" state="visible" r:id="rId3"/>
    <sheet xmlns:r="http://schemas.openxmlformats.org/officeDocument/2006/relationships" name="3. BDE to SOR Mapping" sheetId="4" state="visible" r:id="rId4"/>
    <sheet xmlns:r="http://schemas.openxmlformats.org/officeDocument/2006/relationships" name="4. Business Requirements" sheetId="5" state="visible" r:id="rId5"/>
    <sheet xmlns:r="http://schemas.openxmlformats.org/officeDocument/2006/relationships" name="5. Change Request Log" sheetId="6" state="visible" r:id="rId6"/>
  </sheets>
  <definedNames>
    <definedName name="CDM_Paths">'1. CDM Schema Registry'!$A$3:$A$200</definedName>
    <definedName name="BDE_Names">'2. CDM to BDE Mapping'!$B$3:$B$200</definedName>
    <definedName name="_xlnm._FilterDatabase" localSheetId="1" hidden="1">'1. CDM Schema Registry'!$A$2:$I$2</definedName>
    <definedName name="_xlnm._FilterDatabase" localSheetId="2" hidden="1">'2. CDM to BDE Mapping'!$A$2:$H$2</definedName>
    <definedName name="_xlnm._FilterDatabase" localSheetId="3" hidden="1">'3. BDE to SOR Mapping'!$A$2:$I$2</definedName>
    <definedName name="_xlnm._FilterDatabase" localSheetId="4" hidden="1">'4. Business Requirements'!$A$2:$I$2</definedName>
    <definedName name="_xlnm._FilterDatabase" localSheetId="5" hidden="1">'5. Change Request Log'!$A$2:$O$2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4E79"/>
      <sz val="14"/>
    </font>
    <font>
      <name val="Arial"/>
      <i val="1"/>
      <color rgb="00595959"/>
      <sz val="10"/>
    </font>
    <font>
      <name val="Arial"/>
      <b val="1"/>
      <color rgb="001F4E79"/>
      <sz val="13"/>
    </font>
    <font>
      <name val="Arial"/>
      <sz val="10"/>
    </font>
    <font>
      <name val="Arial"/>
      <b val="1"/>
      <color rgb="001F4E79"/>
      <sz val="10"/>
    </font>
    <font>
      <name val="Arial"/>
      <b val="1"/>
      <color rgb="00FFFFFF"/>
      <sz val="10"/>
    </font>
    <font>
      <name val="Arial"/>
      <color rgb="00000000"/>
      <sz val="10"/>
    </font>
    <font>
      <name val="Arial"/>
      <b val="1"/>
      <sz val="10"/>
    </font>
    <font>
      <name val="Arial"/>
      <b val="1"/>
      <color rgb="00FFFFFF"/>
      <sz val="12"/>
    </font>
    <font>
      <name val="Arial"/>
      <b val="1"/>
      <i val="1"/>
      <color rgb="001F4E79"/>
      <sz val="10"/>
    </font>
  </fonts>
  <fills count="17">
    <fill>
      <patternFill/>
    </fill>
    <fill>
      <patternFill patternType="gray125"/>
    </fill>
    <fill>
      <patternFill patternType="solid">
        <fgColor rgb="009DC3E6"/>
      </patternFill>
    </fill>
    <fill>
      <patternFill patternType="solid">
        <fgColor rgb="001F4E79"/>
      </patternFill>
    </fill>
    <fill>
      <patternFill patternType="solid">
        <fgColor rgb="00FFFFFF"/>
      </patternFill>
    </fill>
    <fill>
      <patternFill patternType="solid">
        <fgColor rgb="002E75B6"/>
      </patternFill>
    </fill>
    <fill>
      <patternFill patternType="solid">
        <fgColor rgb="00F2F2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FDEBD0"/>
      </patternFill>
    </fill>
    <fill>
      <patternFill patternType="solid">
        <fgColor rgb="00C6EFCE"/>
      </patternFill>
    </fill>
    <fill>
      <patternFill patternType="solid">
        <fgColor rgb="00FFC7CE"/>
      </patternFill>
    </fill>
    <fill>
      <patternFill patternType="solid">
        <fgColor rgb="00EBF5FB"/>
      </patternFill>
    </fill>
    <fill>
      <patternFill patternType="solid">
        <fgColor rgb="00F0F6FC"/>
      </patternFill>
    </fill>
    <fill>
      <patternFill patternType="solid">
        <fgColor rgb="00BDD7EE"/>
      </patternFill>
    </fill>
    <fill>
      <patternFill patternType="solid">
        <fgColor rgb="00C00000"/>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FFFFFF"/>
      </left>
      <right style="thin">
        <color rgb="00FFFFFF"/>
      </right>
      <top style="thin">
        <color rgb="00999999"/>
      </top>
      <bottom style="medium">
        <color rgb="00999999"/>
      </bottom>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top" wrapText="1"/>
    </xf>
    <xf numFmtId="0" fontId="5" fillId="2" borderId="1" applyAlignment="1" pivotButton="0" quotePrefix="0" xfId="0">
      <alignment horizontal="left" vertical="top" wrapText="1"/>
    </xf>
    <xf numFmtId="0" fontId="4" fillId="2" borderId="1" applyAlignment="1" pivotButton="0" quotePrefix="0" xfId="0">
      <alignment horizontal="left" vertical="top" wrapText="1"/>
    </xf>
    <xf numFmtId="0" fontId="6" fillId="3" borderId="1" applyAlignment="1" pivotButton="0" quotePrefix="0" xfId="0">
      <alignment horizontal="center" vertical="center" wrapText="1"/>
    </xf>
    <xf numFmtId="0" fontId="7" fillId="4" borderId="1" applyAlignment="1" pivotButton="0" quotePrefix="0" xfId="0">
      <alignment horizontal="left" vertical="top" wrapText="1"/>
    </xf>
    <xf numFmtId="0" fontId="2" fillId="0" borderId="0" applyAlignment="1" pivotButton="0" quotePrefix="0" xfId="0">
      <alignment horizontal="left" vertical="top" wrapText="1"/>
    </xf>
    <xf numFmtId="0" fontId="6" fillId="5" borderId="1" applyAlignment="1" pivotButton="0" quotePrefix="0" xfId="0">
      <alignment horizontal="center" vertical="center" wrapText="1"/>
    </xf>
    <xf numFmtId="0" fontId="4" fillId="6" borderId="1" applyAlignment="1" pivotButton="0" quotePrefix="0" xfId="0">
      <alignment horizontal="left" vertical="top" wrapText="1"/>
    </xf>
    <xf numFmtId="0" fontId="8" fillId="7" borderId="1" applyAlignment="1" pivotButton="0" quotePrefix="0" xfId="0">
      <alignment horizontal="center" vertical="center"/>
    </xf>
    <xf numFmtId="0" fontId="4" fillId="0" borderId="1" applyAlignment="1" pivotButton="0" quotePrefix="0" xfId="0">
      <alignment horizontal="left" vertical="top" wrapText="1"/>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10" borderId="1" applyAlignment="1" pivotButton="0" quotePrefix="0" xfId="0">
      <alignment horizontal="center" vertical="center"/>
    </xf>
    <xf numFmtId="0" fontId="8" fillId="11" borderId="1" applyAlignment="1" pivotButton="0" quotePrefix="0" xfId="0">
      <alignment horizontal="center" vertical="center"/>
    </xf>
    <xf numFmtId="0" fontId="8" fillId="12" borderId="1" applyAlignment="1" pivotButton="0" quotePrefix="0" xfId="0">
      <alignment horizontal="center" vertical="center"/>
    </xf>
    <xf numFmtId="0" fontId="2" fillId="13" borderId="1" applyAlignment="1" pivotButton="0" quotePrefix="0" xfId="0">
      <alignment horizontal="left" vertical="top" wrapText="1"/>
    </xf>
    <xf numFmtId="0" fontId="9" fillId="3" borderId="0" applyAlignment="1" pivotButton="0" quotePrefix="0" xfId="0">
      <alignment horizontal="center" vertical="center"/>
    </xf>
    <xf numFmtId="0" fontId="6" fillId="3" borderId="2" applyAlignment="1" pivotButton="0" quotePrefix="0" xfId="0">
      <alignment horizontal="center" vertical="center" wrapText="1"/>
    </xf>
    <xf numFmtId="0" fontId="4" fillId="4" borderId="1" applyAlignment="1" pivotButton="0" quotePrefix="0" xfId="0">
      <alignment horizontal="left" vertical="top" wrapText="1"/>
    </xf>
    <xf numFmtId="0" fontId="4" fillId="14" borderId="1" applyAlignment="1" pivotButton="0" quotePrefix="0" xfId="0">
      <alignment horizontal="left" vertical="top" wrapText="1"/>
    </xf>
    <xf numFmtId="0" fontId="4" fillId="8" borderId="1" applyAlignment="1" pivotButton="0" quotePrefix="0" xfId="0">
      <alignment horizontal="left" vertical="top" wrapText="1"/>
    </xf>
    <xf numFmtId="0" fontId="10" fillId="15" borderId="2" applyAlignment="1" pivotButton="0" quotePrefix="0" xfId="0">
      <alignment horizontal="center" vertical="center" wrapText="1"/>
    </xf>
    <xf numFmtId="0" fontId="4" fillId="10" borderId="1" applyAlignment="1" pivotButton="0" quotePrefix="0" xfId="0">
      <alignment horizontal="left" vertical="top" wrapText="1"/>
    </xf>
    <xf numFmtId="0" fontId="9" fillId="16" borderId="0" applyAlignment="1" pivotButton="0" quotePrefix="0" xfId="0">
      <alignment horizontal="center" vertical="center"/>
    </xf>
    <xf numFmtId="0" fontId="6" fillId="16" borderId="2" applyAlignment="1" pivotButton="0" quotePrefix="0" xfId="0">
      <alignment horizontal="center" vertical="center" wrapText="1"/>
    </xf>
    <xf numFmtId="0" fontId="4" fillId="11" borderId="1" applyAlignment="1" pivotButton="0" quotePrefix="0" xfId="0">
      <alignment horizontal="left" vertical="top" wrapText="1"/>
    </xf>
    <xf numFmtId="0" fontId="4"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B2:D38"/>
  <sheetViews>
    <sheetView showGridLines="0" workbookViewId="0">
      <selection activeCell="A1" sqref="A1"/>
    </sheetView>
  </sheetViews>
  <sheetFormatPr baseColWidth="8" defaultRowHeight="15"/>
  <cols>
    <col width="2" customWidth="1" min="1" max="1"/>
    <col width="24" customWidth="1" min="2" max="2"/>
    <col width="16" customWidth="1" min="3" max="3"/>
    <col width="52" customWidth="1" min="4" max="4"/>
    <col width="2" customWidth="1" min="5" max="5"/>
  </cols>
  <sheetData>
    <row r="1" ht="12" customHeight="1"/>
    <row r="2" ht="28" customHeight="1">
      <c r="B2" s="1" t="inlineStr">
        <is>
          <t>WCDM Workflow Template</t>
        </is>
      </c>
    </row>
    <row r="3" ht="20" customHeight="1">
      <c r="B3" s="2" t="inlineStr">
        <is>
          <t>Whole Customer Data Model  |  Schema, Mapping, and Governance</t>
        </is>
      </c>
    </row>
    <row r="4" ht="10" customHeight="1"/>
    <row r="5" ht="28" customHeight="1">
      <c r="B5" s="3" t="inlineStr">
        <is>
          <t>About This Template</t>
        </is>
      </c>
    </row>
    <row r="6" ht="62" customHeight="1">
      <c r="B6" s="4" t="inlineStr">
        <is>
          <t>This template manages the three core WCDM mappings: CDM Path to BDE, BDE to SOR, and BDE to Business Requirement. CDM Path and BDE Name are the natural keys that connect all tabs. There are no separate ID columns. The blue-highlighted columns on each tab are auto-calculated using XLOOKUP and pull cross-tab context so you never have to look up related data manually. Requires Excel 2019 or Microsoft 365 for the XLOOKUP formulas.</t>
        </is>
      </c>
    </row>
    <row r="7" ht="10" customHeight="1"/>
    <row r="8" ht="28" customHeight="1">
      <c r="B8" s="3" t="inlineStr">
        <is>
          <t>Tab Guide</t>
        </is>
      </c>
    </row>
    <row r="9" ht="44" customHeight="1">
      <c r="B9" s="5" t="inlineStr">
        <is>
          <t>Tab 1: CDM Schema Registry</t>
        </is>
      </c>
      <c r="C9" s="6" t="inlineStr">
        <is>
          <t>The single source of truth for every CDM leaf path. Register new paths here first before adding any mappings. CDM Path is the primary key that all other tabs reference.</t>
        </is>
      </c>
    </row>
    <row r="10" ht="44" customHeight="1">
      <c r="B10" s="5" t="inlineStr">
        <is>
          <t>Tab 2: CDM to BDE Mapping</t>
        </is>
      </c>
      <c r="C10" s="6" t="inlineStr">
        <is>
          <t>Links each CDM path to its Business Data Element. The auto-column on this tab pulls Data Type directly from Tab 1 so you can see the schema context without switching tabs.</t>
        </is>
      </c>
    </row>
    <row r="11" ht="44" customHeight="1">
      <c r="B11" s="5" t="inlineStr">
        <is>
          <t>Tab 3: BDE to SOR Mapping</t>
        </is>
      </c>
      <c r="C11" s="6" t="inlineStr">
        <is>
          <t>Maps each BDE to the source systems and product types that supply it (1-to-many). The auto-column pulls the BDE Definition from Tab 2 for quick reference while you fill in transformation logic.</t>
        </is>
      </c>
    </row>
    <row r="12" ht="44" customHeight="1">
      <c r="B12" s="5" t="inlineStr">
        <is>
          <t>Tab 4: Business Requirements</t>
        </is>
      </c>
      <c r="C12" s="6" t="inlineStr">
        <is>
          <t>Where consumer requirements enter the process. Link each requirement to the BDEs it depends on. The auto-column pulls the CDM Path from Tab 2. Flag blocked requirements with a Gap Type to drive change requests.</t>
        </is>
      </c>
    </row>
    <row r="13" ht="44" customHeight="1">
      <c r="B13" s="5" t="inlineStr">
        <is>
          <t>Tab 5: Change Request Log</t>
        </is>
      </c>
      <c r="C13" s="6" t="inlineStr">
        <is>
          <t>Governance record for all schema evolution. Every proposed addition, deprecation, or SOR onboarding is tracked here with a business outcome and an approval status. Once approved, go back and update Tabs 1, 2, and 3.</t>
        </is>
      </c>
    </row>
    <row r="14" ht="10" customHeight="1"/>
    <row r="15" ht="28" customHeight="1">
      <c r="B15" s="3" t="inlineStr">
        <is>
          <t>How the Tabs Connect</t>
        </is>
      </c>
    </row>
    <row r="16" ht="24" customHeight="1">
      <c r="B16" s="7" t="inlineStr">
        <is>
          <t>Join Key</t>
        </is>
      </c>
      <c r="C16" s="7" t="inlineStr">
        <is>
          <t>Which Tabs</t>
        </is>
      </c>
      <c r="D16" s="7" t="inlineStr">
        <is>
          <t>How It Works</t>
        </is>
      </c>
    </row>
    <row r="17" ht="48" customHeight="1">
      <c r="B17" s="5" t="inlineStr">
        <is>
          <t>CDM Path</t>
        </is>
      </c>
      <c r="C17" s="8" t="inlineStr">
        <is>
          <t>Tab 1 (Schema Registry) and Tab 2 (CDM to BDE Mapping)</t>
        </is>
      </c>
      <c r="D17" s="8" t="inlineStr">
        <is>
          <t>Tab 2 col A must match a CDM Path from Tab 1. The CDM Path dropdown on Tab 2 is pre-loaded from Tab 1. The auto-column on Tab 2 pulls Data Type from Tab 1 via CDM Path.</t>
        </is>
      </c>
    </row>
    <row r="18" ht="48" customHeight="1">
      <c r="B18" s="5" t="inlineStr">
        <is>
          <t>BDE Name</t>
        </is>
      </c>
      <c r="C18" s="8" t="inlineStr">
        <is>
          <t>Tab 2 (CDM to BDE Mapping) and Tabs 3, 4</t>
        </is>
      </c>
      <c r="D18" s="8" t="inlineStr">
        <is>
          <t>Tab 3 col A and Tab 4 col D reference BDE Names from Tab 2. The BDE Name dropdown on those tabs is pre-loaded from Tab 2. Auto-columns pull BDE Definition (Tab 3) and CDM Path (Tab 4) from Tab 2 via BDE Name.</t>
        </is>
      </c>
    </row>
    <row r="19" ht="48" customHeight="1">
      <c r="B19" s="5" t="inlineStr">
        <is>
          <t>Blocked Status</t>
        </is>
      </c>
      <c r="C19" s="8" t="inlineStr">
        <is>
          <t>Tab 4 (Business Requirements) and Tab 5 (Change Request Log)</t>
        </is>
      </c>
      <c r="D19" s="8" t="inlineStr">
        <is>
          <t>When a row on Tab 4 shows Blocked - Source Gap or Blocked - Schema Gap, that is the trigger to open Tab 5. The Proposed CDM Path on Tab 5 should correspond to the gap identified on Tab 4.</t>
        </is>
      </c>
    </row>
    <row r="20" ht="48" customHeight="1">
      <c r="B20" s="5" t="inlineStr">
        <is>
          <t>Approval</t>
        </is>
      </c>
      <c r="C20" s="8" t="inlineStr">
        <is>
          <t>Tab 5 (Change Request Log) and Tabs 1, 2, 3</t>
        </is>
      </c>
      <c r="D20" s="8" t="inlineStr">
        <is>
          <t>Once a request on Tab 5 reaches Approved status, return to Tabs 1, 2, and 3 to register the new CDM path, add the BDE mapping, and add the SOR mapping.</t>
        </is>
      </c>
    </row>
    <row r="21" ht="10" customHeight="1"/>
    <row r="22" ht="28" customHeight="1">
      <c r="B22" s="3" t="inlineStr">
        <is>
          <t>Requirement Intake Workflow</t>
        </is>
      </c>
    </row>
    <row r="23" ht="32" customHeight="1">
      <c r="B23" s="9" t="inlineStr">
        <is>
          <t>Note: The tabs are organized by data type for maintenance. The workflow below does not follow tab order. Each step tells you exactly which tab to open.</t>
        </is>
      </c>
    </row>
    <row r="24" ht="44" customHeight="1">
      <c r="B24" s="10" t="inlineStr">
        <is>
          <t>Step 1</t>
        </is>
      </c>
      <c r="C24" s="11" t="inlineStr">
        <is>
          <t>A consumer brings a use case. Open TAB 4 (Business Requirements). Enter the requirement, the consumer or stakeholder, and the business outcome it needs to achieve. Leave BDE Name blank until you complete the next step.</t>
        </is>
      </c>
    </row>
    <row r="25" ht="44" customHeight="1">
      <c r="B25" s="10" t="inlineStr">
        <is>
          <t>Step 2</t>
        </is>
      </c>
      <c r="C25" s="11" t="inlineStr">
        <is>
          <t>Check whether the required concept already exists in the schema. Open TAB 2 (CDM to BDE Mapping). Search the BDE Name column. If a matching BDE exists, copy it into the BDE Name field on Tab 4. The CDM Path auto-column will populate automatically.</t>
        </is>
      </c>
    </row>
    <row r="26" ht="44" customHeight="1">
      <c r="B26" s="10" t="inlineStr">
        <is>
          <t>Step 3</t>
        </is>
      </c>
      <c r="C26" s="11" t="inlineStr">
        <is>
          <t>Check whether the source data is already onboarded. Open TAB 3 (BDE to SOR Mapping). Filter by the BDE Name. If the required product type and SOR combination already has a mapping row, no change request is needed. Set the Tab 4 status to Active.</t>
        </is>
      </c>
    </row>
    <row r="27" ht="44" customHeight="1">
      <c r="B27" s="10" t="inlineStr">
        <is>
          <t>Step 4</t>
        </is>
      </c>
      <c r="C27" s="11" t="inlineStr">
        <is>
          <t>If something is missing, open TAB 5 (Change Request Log). If the BDE does not exist in Tab 2, select Request Type: New Attribute. If the BDE exists but the SOR or product type is not in Tab 3, select Request Type: New SOR or New Product Type. Complete the business outcome and schema fields, then set status to Proposed.</t>
        </is>
      </c>
    </row>
    <row r="28" ht="44" customHeight="1">
      <c r="B28" s="10" t="inlineStr">
        <is>
          <t>Step 5</t>
        </is>
      </c>
      <c r="C28" s="11" t="inlineStr">
        <is>
          <t>Once a request on Tab 5 reaches Approved status, update the registries. Add the new CDM path to TAB 1 (CDM Schema Registry), add the BDE mapping to TAB 2 (CDM to BDE Mapping), and add the SOR mapping to TAB 3 (BDE to SOR Mapping). Return to Tab 4 and clear the Gap Type and update the status to Active.</t>
        </is>
      </c>
    </row>
    <row r="29" ht="10" customHeight="1"/>
    <row r="30" ht="28" customHeight="1">
      <c r="B30" s="3" t="inlineStr">
        <is>
          <t>Status Color Legend</t>
        </is>
      </c>
    </row>
    <row r="31" ht="26" customHeight="1">
      <c r="B31" s="12" t="inlineStr">
        <is>
          <t>Active</t>
        </is>
      </c>
      <c r="C31" s="13" t="inlineStr">
        <is>
          <t>Current and in use.</t>
        </is>
      </c>
    </row>
    <row r="32" ht="26" customHeight="1">
      <c r="B32" s="14" t="inlineStr">
        <is>
          <t>Deprecated</t>
        </is>
      </c>
      <c r="C32" s="13" t="inlineStr">
        <is>
          <t>Replaced by a newer path or mapping. Retained for traceability.</t>
        </is>
      </c>
    </row>
    <row r="33" ht="26" customHeight="1">
      <c r="B33" s="15" t="inlineStr">
        <is>
          <t>Proposed</t>
        </is>
      </c>
      <c r="C33" s="13" t="inlineStr">
        <is>
          <t>A change request has been submitted and is awaiting review.</t>
        </is>
      </c>
    </row>
    <row r="34" ht="26" customHeight="1">
      <c r="B34" s="16" t="inlineStr">
        <is>
          <t>Under Review</t>
        </is>
      </c>
      <c r="C34" s="13" t="inlineStr">
        <is>
          <t>Actively being assessed by the governance team.</t>
        </is>
      </c>
    </row>
    <row r="35" ht="26" customHeight="1">
      <c r="B35" s="17" t="inlineStr">
        <is>
          <t>Approved</t>
        </is>
      </c>
      <c r="C35" s="13" t="inlineStr">
        <is>
          <t>Approved and ready for implementation.</t>
        </is>
      </c>
    </row>
    <row r="36" ht="26" customHeight="1">
      <c r="B36" s="18" t="inlineStr">
        <is>
          <t>Rejected</t>
        </is>
      </c>
      <c r="C36" s="13" t="inlineStr">
        <is>
          <t>Declined. See Decision Notes for context.</t>
        </is>
      </c>
    </row>
    <row r="37" ht="10" customHeight="1"/>
    <row r="38" ht="36" customHeight="1">
      <c r="B38" s="19" t="inlineStr">
        <is>
          <t>Auto-columns (light blue headers): These columns are populated by XLOOKUP formulas. Do not edit them directly. They update when you enter or change a key value in the same row.</t>
        </is>
      </c>
    </row>
  </sheetData>
  <mergeCells count="26">
    <mergeCell ref="C34:D34"/>
    <mergeCell ref="C24:D24"/>
    <mergeCell ref="B23:D23"/>
    <mergeCell ref="C33:D33"/>
    <mergeCell ref="B8:D8"/>
    <mergeCell ref="C26:D26"/>
    <mergeCell ref="B38:D38"/>
    <mergeCell ref="C35:D35"/>
    <mergeCell ref="C10:D10"/>
    <mergeCell ref="C25:D25"/>
    <mergeCell ref="B30:D30"/>
    <mergeCell ref="C9:D9"/>
    <mergeCell ref="B15:D15"/>
    <mergeCell ref="C31:D31"/>
    <mergeCell ref="B6:D6"/>
    <mergeCell ref="C12:D12"/>
    <mergeCell ref="B5:D5"/>
    <mergeCell ref="C11:D11"/>
    <mergeCell ref="C27:D27"/>
    <mergeCell ref="C36:D36"/>
    <mergeCell ref="B3:D3"/>
    <mergeCell ref="C32:D32"/>
    <mergeCell ref="B22:D22"/>
    <mergeCell ref="C28:D28"/>
    <mergeCell ref="C13:D13"/>
    <mergeCell ref="B2:D2"/>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I13"/>
  <sheetViews>
    <sheetView showGridLines="0" workbookViewId="0">
      <pane ySplit="2" topLeftCell="A3" activePane="bottomLeft" state="frozen"/>
      <selection pane="bottomLeft" activeCell="A1" sqref="A1"/>
    </sheetView>
  </sheetViews>
  <sheetFormatPr baseColWidth="8" defaultRowHeight="15"/>
  <cols>
    <col width="44" customWidth="1" min="1" max="1"/>
    <col width="18" customWidth="1" min="2" max="2"/>
    <col width="14" customWidth="1" min="3" max="3"/>
    <col width="14" customWidth="1" min="4" max="4"/>
    <col width="14" customWidth="1" min="5" max="5"/>
    <col width="48" customWidth="1" min="6" max="6"/>
    <col width="22" customWidth="1" min="7" max="7"/>
    <col width="16" customWidth="1" min="8" max="8"/>
    <col width="44" customWidth="1" min="9" max="9"/>
  </cols>
  <sheetData>
    <row r="1" ht="30" customHeight="1">
      <c r="A1" s="20" t="inlineStr">
        <is>
          <t>CDM Schema Registry  |  Tab 1</t>
        </is>
      </c>
    </row>
    <row r="2" ht="34" customHeight="1">
      <c r="A2" s="21" t="inlineStr">
        <is>
          <t>CDM Path</t>
        </is>
      </c>
      <c r="B2" s="21" t="inlineStr">
        <is>
          <t>Domain</t>
        </is>
      </c>
      <c r="C2" s="21" t="inlineStr">
        <is>
          <t>Data Type</t>
        </is>
      </c>
      <c r="D2" s="21" t="inlineStr">
        <is>
          <t>Cardinality</t>
        </is>
      </c>
      <c r="E2" s="21" t="inlineStr">
        <is>
          <t>Status</t>
        </is>
      </c>
      <c r="F2" s="21" t="inlineStr">
        <is>
          <t>Business Description</t>
        </is>
      </c>
      <c r="G2" s="21" t="inlineStr">
        <is>
          <t>Owner Team</t>
        </is>
      </c>
      <c r="H2" s="21" t="inlineStr">
        <is>
          <t>Schema Version</t>
        </is>
      </c>
      <c r="I2" s="21" t="inlineStr">
        <is>
          <t>Deprecation Notes</t>
        </is>
      </c>
    </row>
    <row r="3" ht="48" customHeight="1">
      <c r="A3" s="22" t="inlineStr">
        <is>
          <t>customer.identity.fullName</t>
        </is>
      </c>
      <c r="B3" s="22" t="inlineStr">
        <is>
          <t>Customer</t>
        </is>
      </c>
      <c r="C3" s="22" t="inlineStr">
        <is>
          <t>String</t>
        </is>
      </c>
      <c r="D3" s="22" t="inlineStr">
        <is>
          <t>1</t>
        </is>
      </c>
      <c r="E3" s="22" t="inlineStr">
        <is>
          <t>Active</t>
        </is>
      </c>
      <c r="F3" s="22" t="inlineStr">
        <is>
          <t>Full legal name of the customer as recorded in the source system.</t>
        </is>
      </c>
      <c r="G3" s="22" t="inlineStr">
        <is>
          <t>Data Governance</t>
        </is>
      </c>
      <c r="H3" s="22" t="inlineStr">
        <is>
          <t>1.0</t>
        </is>
      </c>
      <c r="I3" s="22" t="inlineStr"/>
    </row>
    <row r="4" ht="48" customHeight="1">
      <c r="A4" s="23" t="inlineStr">
        <is>
          <t>customer.identity.dateOfBirth</t>
        </is>
      </c>
      <c r="B4" s="23" t="inlineStr">
        <is>
          <t>Customer</t>
        </is>
      </c>
      <c r="C4" s="23" t="inlineStr">
        <is>
          <t>Date</t>
        </is>
      </c>
      <c r="D4" s="23" t="inlineStr">
        <is>
          <t>0..1</t>
        </is>
      </c>
      <c r="E4" s="23" t="inlineStr">
        <is>
          <t>Active</t>
        </is>
      </c>
      <c r="F4" s="23" t="inlineStr">
        <is>
          <t>Customer date of birth in ISO 8601 format (YYYY-MM-DD).</t>
        </is>
      </c>
      <c r="G4" s="23" t="inlineStr">
        <is>
          <t>Data Governance</t>
        </is>
      </c>
      <c r="H4" s="23" t="inlineStr">
        <is>
          <t>1.0</t>
        </is>
      </c>
      <c r="I4" s="23" t="inlineStr"/>
    </row>
    <row r="5" ht="48" customHeight="1">
      <c r="A5" s="22" t="inlineStr">
        <is>
          <t>customer.contact.emailAddress</t>
        </is>
      </c>
      <c r="B5" s="22" t="inlineStr">
        <is>
          <t>Customer</t>
        </is>
      </c>
      <c r="C5" s="22" t="inlineStr">
        <is>
          <t>String</t>
        </is>
      </c>
      <c r="D5" s="22" t="inlineStr">
        <is>
          <t>0..N</t>
        </is>
      </c>
      <c r="E5" s="22" t="inlineStr">
        <is>
          <t>Active</t>
        </is>
      </c>
      <c r="F5" s="22" t="inlineStr">
        <is>
          <t>All registered email addresses for the customer.</t>
        </is>
      </c>
      <c r="G5" s="22" t="inlineStr">
        <is>
          <t>Data Governance</t>
        </is>
      </c>
      <c r="H5" s="22" t="inlineStr">
        <is>
          <t>1.0</t>
        </is>
      </c>
      <c r="I5" s="22" t="inlineStr"/>
    </row>
    <row r="6" ht="48" customHeight="1">
      <c r="A6" s="23" t="inlineStr">
        <is>
          <t>customer.employment.annualIncomeAmount</t>
        </is>
      </c>
      <c r="B6" s="23" t="inlineStr">
        <is>
          <t>Customer</t>
        </is>
      </c>
      <c r="C6" s="23" t="inlineStr">
        <is>
          <t>Decimal</t>
        </is>
      </c>
      <c r="D6" s="23" t="inlineStr">
        <is>
          <t>0..1</t>
        </is>
      </c>
      <c r="E6" s="23" t="inlineStr">
        <is>
          <t>Active</t>
        </is>
      </c>
      <c r="F6" s="23" t="inlineStr">
        <is>
          <t>Gross annual income of the customer as declared or verified at origination, in base currency.</t>
        </is>
      </c>
      <c r="G6" s="23" t="inlineStr">
        <is>
          <t>Finance Data</t>
        </is>
      </c>
      <c r="H6" s="23" t="inlineStr">
        <is>
          <t>1.1</t>
        </is>
      </c>
      <c r="I6" s="23" t="inlineStr"/>
    </row>
    <row r="7" ht="48" customHeight="1">
      <c r="A7" s="22" t="inlineStr">
        <is>
          <t>account.balance.currentAmount</t>
        </is>
      </c>
      <c r="B7" s="22" t="inlineStr">
        <is>
          <t>Account</t>
        </is>
      </c>
      <c r="C7" s="22" t="inlineStr">
        <is>
          <t>Decimal</t>
        </is>
      </c>
      <c r="D7" s="22" t="inlineStr">
        <is>
          <t>1</t>
        </is>
      </c>
      <c r="E7" s="22" t="inlineStr">
        <is>
          <t>Active</t>
        </is>
      </c>
      <c r="F7" s="22" t="inlineStr">
        <is>
          <t>Current balance of the account in its base currency at a point in time.</t>
        </is>
      </c>
      <c r="G7" s="22" t="inlineStr">
        <is>
          <t>Finance Data</t>
        </is>
      </c>
      <c r="H7" s="22" t="inlineStr">
        <is>
          <t>1.0</t>
        </is>
      </c>
      <c r="I7" s="22" t="inlineStr"/>
    </row>
    <row r="8" ht="48" customHeight="1">
      <c r="A8" s="23" t="inlineStr">
        <is>
          <t>account.balance.currency</t>
        </is>
      </c>
      <c r="B8" s="23" t="inlineStr">
        <is>
          <t>Account</t>
        </is>
      </c>
      <c r="C8" s="23" t="inlineStr">
        <is>
          <t>String</t>
        </is>
      </c>
      <c r="D8" s="23" t="inlineStr">
        <is>
          <t>1</t>
        </is>
      </c>
      <c r="E8" s="23" t="inlineStr">
        <is>
          <t>Active</t>
        </is>
      </c>
      <c r="F8" s="23" t="inlineStr">
        <is>
          <t>ISO 4217 three-character currency code for the account balance.</t>
        </is>
      </c>
      <c r="G8" s="23" t="inlineStr">
        <is>
          <t>Finance Data</t>
        </is>
      </c>
      <c r="H8" s="23" t="inlineStr">
        <is>
          <t>1.0</t>
        </is>
      </c>
      <c r="I8" s="23" t="inlineStr"/>
    </row>
    <row r="9" ht="48" customHeight="1">
      <c r="A9" s="22" t="inlineStr">
        <is>
          <t>account.status.code</t>
        </is>
      </c>
      <c r="B9" s="22" t="inlineStr">
        <is>
          <t>Account</t>
        </is>
      </c>
      <c r="C9" s="22" t="inlineStr">
        <is>
          <t>String</t>
        </is>
      </c>
      <c r="D9" s="22" t="inlineStr">
        <is>
          <t>1</t>
        </is>
      </c>
      <c r="E9" s="22" t="inlineStr">
        <is>
          <t>Active</t>
        </is>
      </c>
      <c r="F9" s="22" t="inlineStr">
        <is>
          <t>Operational status of the account (e.g., Active, Closed, Suspended).</t>
        </is>
      </c>
      <c r="G9" s="22" t="inlineStr">
        <is>
          <t>Operations</t>
        </is>
      </c>
      <c r="H9" s="22" t="inlineStr">
        <is>
          <t>1.0</t>
        </is>
      </c>
      <c r="I9" s="22" t="inlineStr"/>
    </row>
    <row r="10" ht="48" customHeight="1">
      <c r="A10" s="23" t="inlineStr">
        <is>
          <t>account.product.typeCode</t>
        </is>
      </c>
      <c r="B10" s="23" t="inlineStr">
        <is>
          <t>Account</t>
        </is>
      </c>
      <c r="C10" s="23" t="inlineStr">
        <is>
          <t>String</t>
        </is>
      </c>
      <c r="D10" s="23" t="inlineStr">
        <is>
          <t>1</t>
        </is>
      </c>
      <c r="E10" s="23" t="inlineStr">
        <is>
          <t>Active</t>
        </is>
      </c>
      <c r="F10" s="23" t="inlineStr">
        <is>
          <t>Product classification code assigned to this account in the WCDM product taxonomy.</t>
        </is>
      </c>
      <c r="G10" s="23" t="inlineStr">
        <is>
          <t>Product</t>
        </is>
      </c>
      <c r="H10" s="23" t="inlineStr">
        <is>
          <t>1.0</t>
        </is>
      </c>
      <c r="I10" s="23" t="inlineStr"/>
    </row>
    <row r="11" ht="48" customHeight="1">
      <c r="A11" s="22" t="inlineStr">
        <is>
          <t>transaction.amount.value</t>
        </is>
      </c>
      <c r="B11" s="22" t="inlineStr">
        <is>
          <t>Transaction</t>
        </is>
      </c>
      <c r="C11" s="22" t="inlineStr">
        <is>
          <t>Decimal</t>
        </is>
      </c>
      <c r="D11" s="22" t="inlineStr">
        <is>
          <t>1</t>
        </is>
      </c>
      <c r="E11" s="22" t="inlineStr">
        <is>
          <t>Active</t>
        </is>
      </c>
      <c r="F11" s="22" t="inlineStr">
        <is>
          <t>Monetary value of the transaction before any fees or adjustments.</t>
        </is>
      </c>
      <c r="G11" s="22" t="inlineStr">
        <is>
          <t>Finance Data</t>
        </is>
      </c>
      <c r="H11" s="22" t="inlineStr">
        <is>
          <t>1.0</t>
        </is>
      </c>
      <c r="I11" s="22" t="inlineStr"/>
    </row>
    <row r="12" ht="48" customHeight="1">
      <c r="A12" s="23" t="inlineStr">
        <is>
          <t>transaction.date.effectiveDate</t>
        </is>
      </c>
      <c r="B12" s="23" t="inlineStr">
        <is>
          <t>Transaction</t>
        </is>
      </c>
      <c r="C12" s="23" t="inlineStr">
        <is>
          <t>Date</t>
        </is>
      </c>
      <c r="D12" s="23" t="inlineStr">
        <is>
          <t>1</t>
        </is>
      </c>
      <c r="E12" s="23" t="inlineStr">
        <is>
          <t>Active</t>
        </is>
      </c>
      <c r="F12" s="23" t="inlineStr">
        <is>
          <t>Business date on which the transaction takes effect for accounting purposes.</t>
        </is>
      </c>
      <c r="G12" s="23" t="inlineStr">
        <is>
          <t>Finance Data</t>
        </is>
      </c>
      <c r="H12" s="23" t="inlineStr">
        <is>
          <t>1.0</t>
        </is>
      </c>
      <c r="I12" s="23" t="inlineStr"/>
    </row>
    <row r="13" ht="48" customHeight="1">
      <c r="A13" s="24" t="inlineStr">
        <is>
          <t>customer.identity.legalEntityName</t>
        </is>
      </c>
      <c r="B13" s="24" t="inlineStr">
        <is>
          <t>Customer</t>
        </is>
      </c>
      <c r="C13" s="24" t="inlineStr">
        <is>
          <t>String</t>
        </is>
      </c>
      <c r="D13" s="24" t="inlineStr">
        <is>
          <t>0..1</t>
        </is>
      </c>
      <c r="E13" s="24" t="inlineStr">
        <is>
          <t>Deprecated</t>
        </is>
      </c>
      <c r="F13" s="24" t="inlineStr">
        <is>
          <t>Legal entity name superseded by customer.identity.fullName in v1.1.</t>
        </is>
      </c>
      <c r="G13" s="24" t="inlineStr">
        <is>
          <t>Data Governance</t>
        </is>
      </c>
      <c r="H13" s="24" t="inlineStr">
        <is>
          <t>1.0</t>
        </is>
      </c>
      <c r="I13" s="24" t="inlineStr">
        <is>
          <t>Replaced by customer.identity.fullName as of v1.1. Retained for traceability only.</t>
        </is>
      </c>
    </row>
  </sheetData>
  <autoFilter ref="A2:I2"/>
  <mergeCells count="1">
    <mergeCell ref="A1:I1"/>
  </mergeCells>
  <dataValidations count="3">
    <dataValidation sqref="C3:C1000" showDropDown="0" showInputMessage="0" showErrorMessage="1" allowBlank="1" errorTitle="Invalid Entry" error="Please select a valid option." type="list">
      <formula1>"String,Integer,Decimal,Boolean,Date,DateTime,Array,Object"</formula1>
    </dataValidation>
    <dataValidation sqref="D3:D1000" showDropDown="0" showInputMessage="0" showErrorMessage="1" allowBlank="1" errorTitle="Invalid Entry" error="Please select a valid option." type="list">
      <formula1>"1,0..1,1..N,0..N"</formula1>
    </dataValidation>
    <dataValidation sqref="E3:E1000" showDropDown="0" showInputMessage="0" showErrorMessage="1" allowBlank="1" errorTitle="Invalid Entry" error="Please select a valid option." type="list">
      <formula1>"Active,Deprecated"</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H200"/>
  <sheetViews>
    <sheetView showGridLines="0" workbookViewId="0">
      <pane ySplit="2" topLeftCell="A3" activePane="bottomLeft" state="frozen"/>
      <selection pane="bottomLeft" activeCell="A1" sqref="A1"/>
    </sheetView>
  </sheetViews>
  <sheetFormatPr baseColWidth="8" defaultRowHeight="15"/>
  <cols>
    <col width="44" customWidth="1" min="1" max="1"/>
    <col width="30" customWidth="1" min="2" max="2"/>
    <col width="58" customWidth="1" min="3" max="3"/>
    <col width="24" customWidth="1" min="4" max="4"/>
    <col width="16" customWidth="1" min="5" max="5"/>
    <col width="45" customWidth="1" min="6" max="6"/>
    <col width="38" customWidth="1" min="7" max="7"/>
    <col width="16" customWidth="1" min="8" max="8"/>
  </cols>
  <sheetData>
    <row r="1" ht="30" customHeight="1">
      <c r="A1" s="20" t="inlineStr">
        <is>
          <t>CDM Path to BDE Mapping  |  Tab 2</t>
        </is>
      </c>
    </row>
    <row r="2" ht="34" customHeight="1">
      <c r="A2" s="21" t="inlineStr">
        <is>
          <t>CDM Path</t>
        </is>
      </c>
      <c r="B2" s="21" t="inlineStr">
        <is>
          <t>BDE Name</t>
        </is>
      </c>
      <c r="C2" s="21" t="inlineStr">
        <is>
          <t>BDE Definition</t>
        </is>
      </c>
      <c r="D2" s="21" t="inlineStr">
        <is>
          <t>Business Owner</t>
        </is>
      </c>
      <c r="E2" s="21" t="inlineStr">
        <is>
          <t>Mapping Status</t>
        </is>
      </c>
      <c r="F2" s="21" t="inlineStr">
        <is>
          <t>Deprecation Reason</t>
        </is>
      </c>
      <c r="G2" s="21" t="inlineStr">
        <is>
          <t>Notes</t>
        </is>
      </c>
      <c r="H2" s="25" t="inlineStr">
        <is>
          <t>Data Type (auto)</t>
        </is>
      </c>
    </row>
    <row r="3" ht="48" customHeight="1">
      <c r="A3" s="22" t="inlineStr">
        <is>
          <t>customer.identity.fullName</t>
        </is>
      </c>
      <c r="B3" s="22" t="inlineStr">
        <is>
          <t>Customer Full Name</t>
        </is>
      </c>
      <c r="C3" s="22" t="inlineStr">
        <is>
          <t>The complete legal name of an individual as provided to and verified by the institution.</t>
        </is>
      </c>
      <c r="D3" s="22" t="inlineStr">
        <is>
          <t>Data Governance</t>
        </is>
      </c>
      <c r="E3" s="22" t="inlineStr">
        <is>
          <t>Active</t>
        </is>
      </c>
      <c r="F3" s="22" t="inlineStr"/>
      <c r="G3" s="22" t="inlineStr"/>
      <c r="H3" s="19">
        <f>IFERROR(XLOOKUP(A3,'1. CDM Schema Registry'!$A:$A,'1. CDM Schema Registry'!$C:$C,""),"")</f>
        <v/>
      </c>
    </row>
    <row r="4" ht="48" customHeight="1">
      <c r="A4" s="23" t="inlineStr">
        <is>
          <t>customer.identity.dateOfBirth</t>
        </is>
      </c>
      <c r="B4" s="23" t="inlineStr">
        <is>
          <t>Customer Date of Birth</t>
        </is>
      </c>
      <c r="C4" s="23" t="inlineStr">
        <is>
          <t>The date on which the customer was born. Used for identity verification, eligibility, and regulatory reporting.</t>
        </is>
      </c>
      <c r="D4" s="23" t="inlineStr">
        <is>
          <t>Data Governance</t>
        </is>
      </c>
      <c r="E4" s="23" t="inlineStr">
        <is>
          <t>Active</t>
        </is>
      </c>
      <c r="F4" s="23" t="inlineStr"/>
      <c r="G4" s="23" t="inlineStr"/>
      <c r="H4" s="19">
        <f>IFERROR(XLOOKUP(A4,'1. CDM Schema Registry'!$A:$A,'1. CDM Schema Registry'!$C:$C,""),"")</f>
        <v/>
      </c>
    </row>
    <row r="5" ht="48" customHeight="1">
      <c r="A5" s="22" t="inlineStr">
        <is>
          <t>customer.contact.emailAddress</t>
        </is>
      </c>
      <c r="B5" s="22" t="inlineStr">
        <is>
          <t>Customer Email Address</t>
        </is>
      </c>
      <c r="C5" s="22" t="inlineStr">
        <is>
          <t>A valid electronic mail address associated with the customer for communication and notification.</t>
        </is>
      </c>
      <c r="D5" s="22" t="inlineStr">
        <is>
          <t>Data Governance</t>
        </is>
      </c>
      <c r="E5" s="22" t="inlineStr">
        <is>
          <t>Active</t>
        </is>
      </c>
      <c r="F5" s="22" t="inlineStr"/>
      <c r="G5" s="22" t="inlineStr"/>
      <c r="H5" s="19">
        <f>IFERROR(XLOOKUP(A5,'1. CDM Schema Registry'!$A:$A,'1. CDM Schema Registry'!$C:$C,""),"")</f>
        <v/>
      </c>
    </row>
    <row r="6" ht="48" customHeight="1">
      <c r="A6" s="23" t="inlineStr">
        <is>
          <t>customer.employment.annualIncomeAmount</t>
        </is>
      </c>
      <c r="B6" s="23" t="inlineStr">
        <is>
          <t>Customer Annual Income Amount</t>
        </is>
      </c>
      <c r="C6" s="23" t="inlineStr">
        <is>
          <t>The gross annual income of a customer as declared or verified at origination, expressed in base currency.</t>
        </is>
      </c>
      <c r="D6" s="23" t="inlineStr">
        <is>
          <t>Finance Data</t>
        </is>
      </c>
      <c r="E6" s="23" t="inlineStr">
        <is>
          <t>Active</t>
        </is>
      </c>
      <c r="F6" s="23" t="inlineStr"/>
      <c r="G6" s="23" t="inlineStr">
        <is>
          <t>Added in v1.1 to support credit risk use cases.</t>
        </is>
      </c>
      <c r="H6" s="19">
        <f>IFERROR(XLOOKUP(A6,'1. CDM Schema Registry'!$A:$A,'1. CDM Schema Registry'!$C:$C,""),"")</f>
        <v/>
      </c>
    </row>
    <row r="7" ht="48" customHeight="1">
      <c r="A7" s="22" t="inlineStr">
        <is>
          <t>account.balance.currentAmount</t>
        </is>
      </c>
      <c r="B7" s="22" t="inlineStr">
        <is>
          <t>Account Current Balance</t>
        </is>
      </c>
      <c r="C7" s="22" t="inlineStr">
        <is>
          <t>The net monetary value held in an account at a given point in time, expressed in the account base currency.</t>
        </is>
      </c>
      <c r="D7" s="22" t="inlineStr">
        <is>
          <t>Finance Data</t>
        </is>
      </c>
      <c r="E7" s="22" t="inlineStr">
        <is>
          <t>Active</t>
        </is>
      </c>
      <c r="F7" s="22" t="inlineStr"/>
      <c r="G7" s="22" t="inlineStr"/>
      <c r="H7" s="19">
        <f>IFERROR(XLOOKUP(A7,'1. CDM Schema Registry'!$A:$A,'1. CDM Schema Registry'!$C:$C,""),"")</f>
        <v/>
      </c>
    </row>
    <row r="8" ht="48" customHeight="1">
      <c r="A8" s="23" t="inlineStr">
        <is>
          <t>account.balance.currency</t>
        </is>
      </c>
      <c r="B8" s="23" t="inlineStr">
        <is>
          <t>Account Currency Code</t>
        </is>
      </c>
      <c r="C8" s="23" t="inlineStr">
        <is>
          <t>The ISO 4217 code representing the denomination currency of the account balance.</t>
        </is>
      </c>
      <c r="D8" s="23" t="inlineStr">
        <is>
          <t>Finance Data</t>
        </is>
      </c>
      <c r="E8" s="23" t="inlineStr">
        <is>
          <t>Active</t>
        </is>
      </c>
      <c r="F8" s="23" t="inlineStr"/>
      <c r="G8" s="23" t="inlineStr"/>
      <c r="H8" s="19">
        <f>IFERROR(XLOOKUP(A8,'1. CDM Schema Registry'!$A:$A,'1. CDM Schema Registry'!$C:$C,""),"")</f>
        <v/>
      </c>
    </row>
    <row r="9" ht="48" customHeight="1">
      <c r="A9" s="22" t="inlineStr">
        <is>
          <t>account.status.code</t>
        </is>
      </c>
      <c r="B9" s="22" t="inlineStr">
        <is>
          <t>Account Status</t>
        </is>
      </c>
      <c r="C9" s="22" t="inlineStr">
        <is>
          <t>The current operational lifecycle state of an account, governing what actions may be performed on it.</t>
        </is>
      </c>
      <c r="D9" s="22" t="inlineStr">
        <is>
          <t>Operations</t>
        </is>
      </c>
      <c r="E9" s="22" t="inlineStr">
        <is>
          <t>Active</t>
        </is>
      </c>
      <c r="F9" s="22" t="inlineStr"/>
      <c r="G9" s="22" t="inlineStr"/>
      <c r="H9" s="19">
        <f>IFERROR(XLOOKUP(A9,'1. CDM Schema Registry'!$A:$A,'1. CDM Schema Registry'!$C:$C,""),"")</f>
        <v/>
      </c>
    </row>
    <row r="10" ht="48" customHeight="1">
      <c r="A10" s="23" t="inlineStr">
        <is>
          <t>account.product.typeCode</t>
        </is>
      </c>
      <c r="B10" s="23" t="inlineStr">
        <is>
          <t>Product Type Code</t>
        </is>
      </c>
      <c r="C10" s="23" t="inlineStr">
        <is>
          <t>A standardized code classifying the product type associated with an account in the WCDM product taxonomy.</t>
        </is>
      </c>
      <c r="D10" s="23" t="inlineStr">
        <is>
          <t>Product</t>
        </is>
      </c>
      <c r="E10" s="23" t="inlineStr">
        <is>
          <t>Active</t>
        </is>
      </c>
      <c r="F10" s="23" t="inlineStr"/>
      <c r="G10" s="23" t="inlineStr"/>
      <c r="H10" s="19">
        <f>IFERROR(XLOOKUP(A10,'1. CDM Schema Registry'!$A:$A,'1. CDM Schema Registry'!$C:$C,""),"")</f>
        <v/>
      </c>
    </row>
    <row r="11" ht="48" customHeight="1">
      <c r="A11" s="22" t="inlineStr">
        <is>
          <t>transaction.amount.value</t>
        </is>
      </c>
      <c r="B11" s="22" t="inlineStr">
        <is>
          <t>Transaction Amount</t>
        </is>
      </c>
      <c r="C11" s="22" t="inlineStr">
        <is>
          <t>The gross monetary value of a financial transaction prior to fee or adjustment application.</t>
        </is>
      </c>
      <c r="D11" s="22" t="inlineStr">
        <is>
          <t>Finance Data</t>
        </is>
      </c>
      <c r="E11" s="22" t="inlineStr">
        <is>
          <t>Active</t>
        </is>
      </c>
      <c r="F11" s="22" t="inlineStr"/>
      <c r="G11" s="22" t="inlineStr"/>
      <c r="H11" s="19">
        <f>IFERROR(XLOOKUP(A11,'1. CDM Schema Registry'!$A:$A,'1. CDM Schema Registry'!$C:$C,""),"")</f>
        <v/>
      </c>
    </row>
    <row r="12" ht="48" customHeight="1">
      <c r="A12" s="23" t="inlineStr">
        <is>
          <t>transaction.date.effectiveDate</t>
        </is>
      </c>
      <c r="B12" s="23" t="inlineStr">
        <is>
          <t>Transaction Effective Date</t>
        </is>
      </c>
      <c r="C12" s="23" t="inlineStr">
        <is>
          <t>The business calendar date on which a transaction is recognized as having occurred for accounting purposes.</t>
        </is>
      </c>
      <c r="D12" s="23" t="inlineStr">
        <is>
          <t>Finance Data</t>
        </is>
      </c>
      <c r="E12" s="23" t="inlineStr">
        <is>
          <t>Active</t>
        </is>
      </c>
      <c r="F12" s="23" t="inlineStr"/>
      <c r="G12" s="23" t="inlineStr"/>
      <c r="H12" s="19">
        <f>IFERROR(XLOOKUP(A12,'1. CDM Schema Registry'!$A:$A,'1. CDM Schema Registry'!$C:$C,""),"")</f>
        <v/>
      </c>
    </row>
    <row r="13" ht="48" customHeight="1">
      <c r="A13" s="24" t="inlineStr">
        <is>
          <t>customer.identity.legalEntityName</t>
        </is>
      </c>
      <c r="B13" s="24" t="inlineStr">
        <is>
          <t>Customer Full Name</t>
        </is>
      </c>
      <c r="C13" s="24" t="inlineStr">
        <is>
          <t>The complete legal name of an individual as provided to and verified by the institution.</t>
        </is>
      </c>
      <c r="D13" s="24" t="inlineStr">
        <is>
          <t>Data Governance</t>
        </is>
      </c>
      <c r="E13" s="24" t="inlineStr">
        <is>
          <t>Deprecated</t>
        </is>
      </c>
      <c r="F13" s="24" t="inlineStr">
        <is>
          <t>Superseded by customer.identity.fullName in v1.1. BDE unchanged; this CDM path mapping is deprecated.</t>
        </is>
      </c>
      <c r="G13" s="24" t="inlineStr"/>
      <c r="H13" s="19">
        <f>IFERROR(XLOOKUP(A13,'1. CDM Schema Registry'!$A:$A,'1. CDM Schema Registry'!$C:$C,""),"")</f>
        <v/>
      </c>
    </row>
    <row r="14">
      <c r="H14" s="19">
        <f>IFERROR(XLOOKUP(A14,'1. CDM Schema Registry'!$A:$A,'1. CDM Schema Registry'!$C:$C,""),"")</f>
        <v/>
      </c>
    </row>
    <row r="15">
      <c r="H15" s="19">
        <f>IFERROR(XLOOKUP(A15,'1. CDM Schema Registry'!$A:$A,'1. CDM Schema Registry'!$C:$C,""),"")</f>
        <v/>
      </c>
    </row>
    <row r="16">
      <c r="H16" s="19">
        <f>IFERROR(XLOOKUP(A16,'1. CDM Schema Registry'!$A:$A,'1. CDM Schema Registry'!$C:$C,""),"")</f>
        <v/>
      </c>
    </row>
    <row r="17">
      <c r="H17" s="19">
        <f>IFERROR(XLOOKUP(A17,'1. CDM Schema Registry'!$A:$A,'1. CDM Schema Registry'!$C:$C,""),"")</f>
        <v/>
      </c>
    </row>
    <row r="18">
      <c r="H18" s="19">
        <f>IFERROR(XLOOKUP(A18,'1. CDM Schema Registry'!$A:$A,'1. CDM Schema Registry'!$C:$C,""),"")</f>
        <v/>
      </c>
    </row>
    <row r="19">
      <c r="H19" s="19">
        <f>IFERROR(XLOOKUP(A19,'1. CDM Schema Registry'!$A:$A,'1. CDM Schema Registry'!$C:$C,""),"")</f>
        <v/>
      </c>
    </row>
    <row r="20">
      <c r="H20" s="19">
        <f>IFERROR(XLOOKUP(A20,'1. CDM Schema Registry'!$A:$A,'1. CDM Schema Registry'!$C:$C,""),"")</f>
        <v/>
      </c>
    </row>
    <row r="21">
      <c r="H21" s="19">
        <f>IFERROR(XLOOKUP(A21,'1. CDM Schema Registry'!$A:$A,'1. CDM Schema Registry'!$C:$C,""),"")</f>
        <v/>
      </c>
    </row>
    <row r="22">
      <c r="H22" s="19">
        <f>IFERROR(XLOOKUP(A22,'1. CDM Schema Registry'!$A:$A,'1. CDM Schema Registry'!$C:$C,""),"")</f>
        <v/>
      </c>
    </row>
    <row r="23">
      <c r="H23" s="19">
        <f>IFERROR(XLOOKUP(A23,'1. CDM Schema Registry'!$A:$A,'1. CDM Schema Registry'!$C:$C,""),"")</f>
        <v/>
      </c>
    </row>
    <row r="24">
      <c r="H24" s="19">
        <f>IFERROR(XLOOKUP(A24,'1. CDM Schema Registry'!$A:$A,'1. CDM Schema Registry'!$C:$C,""),"")</f>
        <v/>
      </c>
    </row>
    <row r="25">
      <c r="H25" s="19">
        <f>IFERROR(XLOOKUP(A25,'1. CDM Schema Registry'!$A:$A,'1. CDM Schema Registry'!$C:$C,""),"")</f>
        <v/>
      </c>
    </row>
    <row r="26">
      <c r="H26" s="19">
        <f>IFERROR(XLOOKUP(A26,'1. CDM Schema Registry'!$A:$A,'1. CDM Schema Registry'!$C:$C,""),"")</f>
        <v/>
      </c>
    </row>
    <row r="27">
      <c r="H27" s="19">
        <f>IFERROR(XLOOKUP(A27,'1. CDM Schema Registry'!$A:$A,'1. CDM Schema Registry'!$C:$C,""),"")</f>
        <v/>
      </c>
    </row>
    <row r="28">
      <c r="H28" s="19">
        <f>IFERROR(XLOOKUP(A28,'1. CDM Schema Registry'!$A:$A,'1. CDM Schema Registry'!$C:$C,""),"")</f>
        <v/>
      </c>
    </row>
    <row r="29">
      <c r="H29" s="19">
        <f>IFERROR(XLOOKUP(A29,'1. CDM Schema Registry'!$A:$A,'1. CDM Schema Registry'!$C:$C,""),"")</f>
        <v/>
      </c>
    </row>
    <row r="30">
      <c r="H30" s="19">
        <f>IFERROR(XLOOKUP(A30,'1. CDM Schema Registry'!$A:$A,'1. CDM Schema Registry'!$C:$C,""),"")</f>
        <v/>
      </c>
    </row>
    <row r="31">
      <c r="H31" s="19">
        <f>IFERROR(XLOOKUP(A31,'1. CDM Schema Registry'!$A:$A,'1. CDM Schema Registry'!$C:$C,""),"")</f>
        <v/>
      </c>
    </row>
    <row r="32">
      <c r="H32" s="19">
        <f>IFERROR(XLOOKUP(A32,'1. CDM Schema Registry'!$A:$A,'1. CDM Schema Registry'!$C:$C,""),"")</f>
        <v/>
      </c>
    </row>
    <row r="33">
      <c r="H33" s="19">
        <f>IFERROR(XLOOKUP(A33,'1. CDM Schema Registry'!$A:$A,'1. CDM Schema Registry'!$C:$C,""),"")</f>
        <v/>
      </c>
    </row>
    <row r="34">
      <c r="H34" s="19">
        <f>IFERROR(XLOOKUP(A34,'1. CDM Schema Registry'!$A:$A,'1. CDM Schema Registry'!$C:$C,""),"")</f>
        <v/>
      </c>
    </row>
    <row r="35">
      <c r="H35" s="19">
        <f>IFERROR(XLOOKUP(A35,'1. CDM Schema Registry'!$A:$A,'1. CDM Schema Registry'!$C:$C,""),"")</f>
        <v/>
      </c>
    </row>
    <row r="36">
      <c r="H36" s="19">
        <f>IFERROR(XLOOKUP(A36,'1. CDM Schema Registry'!$A:$A,'1. CDM Schema Registry'!$C:$C,""),"")</f>
        <v/>
      </c>
    </row>
    <row r="37">
      <c r="H37" s="19">
        <f>IFERROR(XLOOKUP(A37,'1. CDM Schema Registry'!$A:$A,'1. CDM Schema Registry'!$C:$C,""),"")</f>
        <v/>
      </c>
    </row>
    <row r="38">
      <c r="H38" s="19">
        <f>IFERROR(XLOOKUP(A38,'1. CDM Schema Registry'!$A:$A,'1. CDM Schema Registry'!$C:$C,""),"")</f>
        <v/>
      </c>
    </row>
    <row r="39">
      <c r="H39" s="19">
        <f>IFERROR(XLOOKUP(A39,'1. CDM Schema Registry'!$A:$A,'1. CDM Schema Registry'!$C:$C,""),"")</f>
        <v/>
      </c>
    </row>
    <row r="40">
      <c r="H40" s="19">
        <f>IFERROR(XLOOKUP(A40,'1. CDM Schema Registry'!$A:$A,'1. CDM Schema Registry'!$C:$C,""),"")</f>
        <v/>
      </c>
    </row>
    <row r="41">
      <c r="H41" s="19">
        <f>IFERROR(XLOOKUP(A41,'1. CDM Schema Registry'!$A:$A,'1. CDM Schema Registry'!$C:$C,""),"")</f>
        <v/>
      </c>
    </row>
    <row r="42">
      <c r="H42" s="19">
        <f>IFERROR(XLOOKUP(A42,'1. CDM Schema Registry'!$A:$A,'1. CDM Schema Registry'!$C:$C,""),"")</f>
        <v/>
      </c>
    </row>
    <row r="43">
      <c r="H43" s="19">
        <f>IFERROR(XLOOKUP(A43,'1. CDM Schema Registry'!$A:$A,'1. CDM Schema Registry'!$C:$C,""),"")</f>
        <v/>
      </c>
    </row>
    <row r="44">
      <c r="H44" s="19">
        <f>IFERROR(XLOOKUP(A44,'1. CDM Schema Registry'!$A:$A,'1. CDM Schema Registry'!$C:$C,""),"")</f>
        <v/>
      </c>
    </row>
    <row r="45">
      <c r="H45" s="19">
        <f>IFERROR(XLOOKUP(A45,'1. CDM Schema Registry'!$A:$A,'1. CDM Schema Registry'!$C:$C,""),"")</f>
        <v/>
      </c>
    </row>
    <row r="46">
      <c r="H46" s="19">
        <f>IFERROR(XLOOKUP(A46,'1. CDM Schema Registry'!$A:$A,'1. CDM Schema Registry'!$C:$C,""),"")</f>
        <v/>
      </c>
    </row>
    <row r="47">
      <c r="H47" s="19">
        <f>IFERROR(XLOOKUP(A47,'1. CDM Schema Registry'!$A:$A,'1. CDM Schema Registry'!$C:$C,""),"")</f>
        <v/>
      </c>
    </row>
    <row r="48">
      <c r="H48" s="19">
        <f>IFERROR(XLOOKUP(A48,'1. CDM Schema Registry'!$A:$A,'1. CDM Schema Registry'!$C:$C,""),"")</f>
        <v/>
      </c>
    </row>
    <row r="49">
      <c r="H49" s="19">
        <f>IFERROR(XLOOKUP(A49,'1. CDM Schema Registry'!$A:$A,'1. CDM Schema Registry'!$C:$C,""),"")</f>
        <v/>
      </c>
    </row>
    <row r="50">
      <c r="H50" s="19">
        <f>IFERROR(XLOOKUP(A50,'1. CDM Schema Registry'!$A:$A,'1. CDM Schema Registry'!$C:$C,""),"")</f>
        <v/>
      </c>
    </row>
    <row r="51">
      <c r="H51" s="19">
        <f>IFERROR(XLOOKUP(A51,'1. CDM Schema Registry'!$A:$A,'1. CDM Schema Registry'!$C:$C,""),"")</f>
        <v/>
      </c>
    </row>
    <row r="52">
      <c r="H52" s="19">
        <f>IFERROR(XLOOKUP(A52,'1. CDM Schema Registry'!$A:$A,'1. CDM Schema Registry'!$C:$C,""),"")</f>
        <v/>
      </c>
    </row>
    <row r="53">
      <c r="H53" s="19">
        <f>IFERROR(XLOOKUP(A53,'1. CDM Schema Registry'!$A:$A,'1. CDM Schema Registry'!$C:$C,""),"")</f>
        <v/>
      </c>
    </row>
    <row r="54">
      <c r="H54" s="19">
        <f>IFERROR(XLOOKUP(A54,'1. CDM Schema Registry'!$A:$A,'1. CDM Schema Registry'!$C:$C,""),"")</f>
        <v/>
      </c>
    </row>
    <row r="55">
      <c r="H55" s="19">
        <f>IFERROR(XLOOKUP(A55,'1. CDM Schema Registry'!$A:$A,'1. CDM Schema Registry'!$C:$C,""),"")</f>
        <v/>
      </c>
    </row>
    <row r="56">
      <c r="H56" s="19">
        <f>IFERROR(XLOOKUP(A56,'1. CDM Schema Registry'!$A:$A,'1. CDM Schema Registry'!$C:$C,""),"")</f>
        <v/>
      </c>
    </row>
    <row r="57">
      <c r="H57" s="19">
        <f>IFERROR(XLOOKUP(A57,'1. CDM Schema Registry'!$A:$A,'1. CDM Schema Registry'!$C:$C,""),"")</f>
        <v/>
      </c>
    </row>
    <row r="58">
      <c r="H58" s="19">
        <f>IFERROR(XLOOKUP(A58,'1. CDM Schema Registry'!$A:$A,'1. CDM Schema Registry'!$C:$C,""),"")</f>
        <v/>
      </c>
    </row>
    <row r="59">
      <c r="H59" s="19">
        <f>IFERROR(XLOOKUP(A59,'1. CDM Schema Registry'!$A:$A,'1. CDM Schema Registry'!$C:$C,""),"")</f>
        <v/>
      </c>
    </row>
    <row r="60">
      <c r="H60" s="19">
        <f>IFERROR(XLOOKUP(A60,'1. CDM Schema Registry'!$A:$A,'1. CDM Schema Registry'!$C:$C,""),"")</f>
        <v/>
      </c>
    </row>
    <row r="61">
      <c r="H61" s="19">
        <f>IFERROR(XLOOKUP(A61,'1. CDM Schema Registry'!$A:$A,'1. CDM Schema Registry'!$C:$C,""),"")</f>
        <v/>
      </c>
    </row>
    <row r="62">
      <c r="H62" s="19">
        <f>IFERROR(XLOOKUP(A62,'1. CDM Schema Registry'!$A:$A,'1. CDM Schema Registry'!$C:$C,""),"")</f>
        <v/>
      </c>
    </row>
    <row r="63">
      <c r="H63" s="19">
        <f>IFERROR(XLOOKUP(A63,'1. CDM Schema Registry'!$A:$A,'1. CDM Schema Registry'!$C:$C,""),"")</f>
        <v/>
      </c>
    </row>
    <row r="64">
      <c r="H64" s="19">
        <f>IFERROR(XLOOKUP(A64,'1. CDM Schema Registry'!$A:$A,'1. CDM Schema Registry'!$C:$C,""),"")</f>
        <v/>
      </c>
    </row>
    <row r="65">
      <c r="H65" s="19">
        <f>IFERROR(XLOOKUP(A65,'1. CDM Schema Registry'!$A:$A,'1. CDM Schema Registry'!$C:$C,""),"")</f>
        <v/>
      </c>
    </row>
    <row r="66">
      <c r="H66" s="19">
        <f>IFERROR(XLOOKUP(A66,'1. CDM Schema Registry'!$A:$A,'1. CDM Schema Registry'!$C:$C,""),"")</f>
        <v/>
      </c>
    </row>
    <row r="67">
      <c r="H67" s="19">
        <f>IFERROR(XLOOKUP(A67,'1. CDM Schema Registry'!$A:$A,'1. CDM Schema Registry'!$C:$C,""),"")</f>
        <v/>
      </c>
    </row>
    <row r="68">
      <c r="H68" s="19">
        <f>IFERROR(XLOOKUP(A68,'1. CDM Schema Registry'!$A:$A,'1. CDM Schema Registry'!$C:$C,""),"")</f>
        <v/>
      </c>
    </row>
    <row r="69">
      <c r="H69" s="19">
        <f>IFERROR(XLOOKUP(A69,'1. CDM Schema Registry'!$A:$A,'1. CDM Schema Registry'!$C:$C,""),"")</f>
        <v/>
      </c>
    </row>
    <row r="70">
      <c r="H70" s="19">
        <f>IFERROR(XLOOKUP(A70,'1. CDM Schema Registry'!$A:$A,'1. CDM Schema Registry'!$C:$C,""),"")</f>
        <v/>
      </c>
    </row>
    <row r="71">
      <c r="H71" s="19">
        <f>IFERROR(XLOOKUP(A71,'1. CDM Schema Registry'!$A:$A,'1. CDM Schema Registry'!$C:$C,""),"")</f>
        <v/>
      </c>
    </row>
    <row r="72">
      <c r="H72" s="19">
        <f>IFERROR(XLOOKUP(A72,'1. CDM Schema Registry'!$A:$A,'1. CDM Schema Registry'!$C:$C,""),"")</f>
        <v/>
      </c>
    </row>
    <row r="73">
      <c r="H73" s="19">
        <f>IFERROR(XLOOKUP(A73,'1. CDM Schema Registry'!$A:$A,'1. CDM Schema Registry'!$C:$C,""),"")</f>
        <v/>
      </c>
    </row>
    <row r="74">
      <c r="H74" s="19">
        <f>IFERROR(XLOOKUP(A74,'1. CDM Schema Registry'!$A:$A,'1. CDM Schema Registry'!$C:$C,""),"")</f>
        <v/>
      </c>
    </row>
    <row r="75">
      <c r="H75" s="19">
        <f>IFERROR(XLOOKUP(A75,'1. CDM Schema Registry'!$A:$A,'1. CDM Schema Registry'!$C:$C,""),"")</f>
        <v/>
      </c>
    </row>
    <row r="76">
      <c r="H76" s="19">
        <f>IFERROR(XLOOKUP(A76,'1. CDM Schema Registry'!$A:$A,'1. CDM Schema Registry'!$C:$C,""),"")</f>
        <v/>
      </c>
    </row>
    <row r="77">
      <c r="H77" s="19">
        <f>IFERROR(XLOOKUP(A77,'1. CDM Schema Registry'!$A:$A,'1. CDM Schema Registry'!$C:$C,""),"")</f>
        <v/>
      </c>
    </row>
    <row r="78">
      <c r="H78" s="19">
        <f>IFERROR(XLOOKUP(A78,'1. CDM Schema Registry'!$A:$A,'1. CDM Schema Registry'!$C:$C,""),"")</f>
        <v/>
      </c>
    </row>
    <row r="79">
      <c r="H79" s="19">
        <f>IFERROR(XLOOKUP(A79,'1. CDM Schema Registry'!$A:$A,'1. CDM Schema Registry'!$C:$C,""),"")</f>
        <v/>
      </c>
    </row>
    <row r="80">
      <c r="H80" s="19">
        <f>IFERROR(XLOOKUP(A80,'1. CDM Schema Registry'!$A:$A,'1. CDM Schema Registry'!$C:$C,""),"")</f>
        <v/>
      </c>
    </row>
    <row r="81">
      <c r="H81" s="19">
        <f>IFERROR(XLOOKUP(A81,'1. CDM Schema Registry'!$A:$A,'1. CDM Schema Registry'!$C:$C,""),"")</f>
        <v/>
      </c>
    </row>
    <row r="82">
      <c r="H82" s="19">
        <f>IFERROR(XLOOKUP(A82,'1. CDM Schema Registry'!$A:$A,'1. CDM Schema Registry'!$C:$C,""),"")</f>
        <v/>
      </c>
    </row>
    <row r="83">
      <c r="H83" s="19">
        <f>IFERROR(XLOOKUP(A83,'1. CDM Schema Registry'!$A:$A,'1. CDM Schema Registry'!$C:$C,""),"")</f>
        <v/>
      </c>
    </row>
    <row r="84">
      <c r="H84" s="19">
        <f>IFERROR(XLOOKUP(A84,'1. CDM Schema Registry'!$A:$A,'1. CDM Schema Registry'!$C:$C,""),"")</f>
        <v/>
      </c>
    </row>
    <row r="85">
      <c r="H85" s="19">
        <f>IFERROR(XLOOKUP(A85,'1. CDM Schema Registry'!$A:$A,'1. CDM Schema Registry'!$C:$C,""),"")</f>
        <v/>
      </c>
    </row>
    <row r="86">
      <c r="H86" s="19">
        <f>IFERROR(XLOOKUP(A86,'1. CDM Schema Registry'!$A:$A,'1. CDM Schema Registry'!$C:$C,""),"")</f>
        <v/>
      </c>
    </row>
    <row r="87">
      <c r="H87" s="19">
        <f>IFERROR(XLOOKUP(A87,'1. CDM Schema Registry'!$A:$A,'1. CDM Schema Registry'!$C:$C,""),"")</f>
        <v/>
      </c>
    </row>
    <row r="88">
      <c r="H88" s="19">
        <f>IFERROR(XLOOKUP(A88,'1. CDM Schema Registry'!$A:$A,'1. CDM Schema Registry'!$C:$C,""),"")</f>
        <v/>
      </c>
    </row>
    <row r="89">
      <c r="H89" s="19">
        <f>IFERROR(XLOOKUP(A89,'1. CDM Schema Registry'!$A:$A,'1. CDM Schema Registry'!$C:$C,""),"")</f>
        <v/>
      </c>
    </row>
    <row r="90">
      <c r="H90" s="19">
        <f>IFERROR(XLOOKUP(A90,'1. CDM Schema Registry'!$A:$A,'1. CDM Schema Registry'!$C:$C,""),"")</f>
        <v/>
      </c>
    </row>
    <row r="91">
      <c r="H91" s="19">
        <f>IFERROR(XLOOKUP(A91,'1. CDM Schema Registry'!$A:$A,'1. CDM Schema Registry'!$C:$C,""),"")</f>
        <v/>
      </c>
    </row>
    <row r="92">
      <c r="H92" s="19">
        <f>IFERROR(XLOOKUP(A92,'1. CDM Schema Registry'!$A:$A,'1. CDM Schema Registry'!$C:$C,""),"")</f>
        <v/>
      </c>
    </row>
    <row r="93">
      <c r="H93" s="19">
        <f>IFERROR(XLOOKUP(A93,'1. CDM Schema Registry'!$A:$A,'1. CDM Schema Registry'!$C:$C,""),"")</f>
        <v/>
      </c>
    </row>
    <row r="94">
      <c r="H94" s="19">
        <f>IFERROR(XLOOKUP(A94,'1. CDM Schema Registry'!$A:$A,'1. CDM Schema Registry'!$C:$C,""),"")</f>
        <v/>
      </c>
    </row>
    <row r="95">
      <c r="H95" s="19">
        <f>IFERROR(XLOOKUP(A95,'1. CDM Schema Registry'!$A:$A,'1. CDM Schema Registry'!$C:$C,""),"")</f>
        <v/>
      </c>
    </row>
    <row r="96">
      <c r="H96" s="19">
        <f>IFERROR(XLOOKUP(A96,'1. CDM Schema Registry'!$A:$A,'1. CDM Schema Registry'!$C:$C,""),"")</f>
        <v/>
      </c>
    </row>
    <row r="97">
      <c r="H97" s="19">
        <f>IFERROR(XLOOKUP(A97,'1. CDM Schema Registry'!$A:$A,'1. CDM Schema Registry'!$C:$C,""),"")</f>
        <v/>
      </c>
    </row>
    <row r="98">
      <c r="H98" s="19">
        <f>IFERROR(XLOOKUP(A98,'1. CDM Schema Registry'!$A:$A,'1. CDM Schema Registry'!$C:$C,""),"")</f>
        <v/>
      </c>
    </row>
    <row r="99">
      <c r="H99" s="19">
        <f>IFERROR(XLOOKUP(A99,'1. CDM Schema Registry'!$A:$A,'1. CDM Schema Registry'!$C:$C,""),"")</f>
        <v/>
      </c>
    </row>
    <row r="100">
      <c r="H100" s="19">
        <f>IFERROR(XLOOKUP(A100,'1. CDM Schema Registry'!$A:$A,'1. CDM Schema Registry'!$C:$C,""),"")</f>
        <v/>
      </c>
    </row>
    <row r="101">
      <c r="H101" s="19">
        <f>IFERROR(XLOOKUP(A101,'1. CDM Schema Registry'!$A:$A,'1. CDM Schema Registry'!$C:$C,""),"")</f>
        <v/>
      </c>
    </row>
    <row r="102">
      <c r="H102" s="19">
        <f>IFERROR(XLOOKUP(A102,'1. CDM Schema Registry'!$A:$A,'1. CDM Schema Registry'!$C:$C,""),"")</f>
        <v/>
      </c>
    </row>
    <row r="103">
      <c r="H103" s="19">
        <f>IFERROR(XLOOKUP(A103,'1. CDM Schema Registry'!$A:$A,'1. CDM Schema Registry'!$C:$C,""),"")</f>
        <v/>
      </c>
    </row>
    <row r="104">
      <c r="H104" s="19">
        <f>IFERROR(XLOOKUP(A104,'1. CDM Schema Registry'!$A:$A,'1. CDM Schema Registry'!$C:$C,""),"")</f>
        <v/>
      </c>
    </row>
    <row r="105">
      <c r="H105" s="19">
        <f>IFERROR(XLOOKUP(A105,'1. CDM Schema Registry'!$A:$A,'1. CDM Schema Registry'!$C:$C,""),"")</f>
        <v/>
      </c>
    </row>
    <row r="106">
      <c r="H106" s="19">
        <f>IFERROR(XLOOKUP(A106,'1. CDM Schema Registry'!$A:$A,'1. CDM Schema Registry'!$C:$C,""),"")</f>
        <v/>
      </c>
    </row>
    <row r="107">
      <c r="H107" s="19">
        <f>IFERROR(XLOOKUP(A107,'1. CDM Schema Registry'!$A:$A,'1. CDM Schema Registry'!$C:$C,""),"")</f>
        <v/>
      </c>
    </row>
    <row r="108">
      <c r="H108" s="19">
        <f>IFERROR(XLOOKUP(A108,'1. CDM Schema Registry'!$A:$A,'1. CDM Schema Registry'!$C:$C,""),"")</f>
        <v/>
      </c>
    </row>
    <row r="109">
      <c r="H109" s="19">
        <f>IFERROR(XLOOKUP(A109,'1. CDM Schema Registry'!$A:$A,'1. CDM Schema Registry'!$C:$C,""),"")</f>
        <v/>
      </c>
    </row>
    <row r="110">
      <c r="H110" s="19">
        <f>IFERROR(XLOOKUP(A110,'1. CDM Schema Registry'!$A:$A,'1. CDM Schema Registry'!$C:$C,""),"")</f>
        <v/>
      </c>
    </row>
    <row r="111">
      <c r="H111" s="19">
        <f>IFERROR(XLOOKUP(A111,'1. CDM Schema Registry'!$A:$A,'1. CDM Schema Registry'!$C:$C,""),"")</f>
        <v/>
      </c>
    </row>
    <row r="112">
      <c r="H112" s="19">
        <f>IFERROR(XLOOKUP(A112,'1. CDM Schema Registry'!$A:$A,'1. CDM Schema Registry'!$C:$C,""),"")</f>
        <v/>
      </c>
    </row>
    <row r="113">
      <c r="H113" s="19">
        <f>IFERROR(XLOOKUP(A113,'1. CDM Schema Registry'!$A:$A,'1. CDM Schema Registry'!$C:$C,""),"")</f>
        <v/>
      </c>
    </row>
    <row r="114">
      <c r="H114" s="19">
        <f>IFERROR(XLOOKUP(A114,'1. CDM Schema Registry'!$A:$A,'1. CDM Schema Registry'!$C:$C,""),"")</f>
        <v/>
      </c>
    </row>
    <row r="115">
      <c r="H115" s="19">
        <f>IFERROR(XLOOKUP(A115,'1. CDM Schema Registry'!$A:$A,'1. CDM Schema Registry'!$C:$C,""),"")</f>
        <v/>
      </c>
    </row>
    <row r="116">
      <c r="H116" s="19">
        <f>IFERROR(XLOOKUP(A116,'1. CDM Schema Registry'!$A:$A,'1. CDM Schema Registry'!$C:$C,""),"")</f>
        <v/>
      </c>
    </row>
    <row r="117">
      <c r="H117" s="19">
        <f>IFERROR(XLOOKUP(A117,'1. CDM Schema Registry'!$A:$A,'1. CDM Schema Registry'!$C:$C,""),"")</f>
        <v/>
      </c>
    </row>
    <row r="118">
      <c r="H118" s="19">
        <f>IFERROR(XLOOKUP(A118,'1. CDM Schema Registry'!$A:$A,'1. CDM Schema Registry'!$C:$C,""),"")</f>
        <v/>
      </c>
    </row>
    <row r="119">
      <c r="H119" s="19">
        <f>IFERROR(XLOOKUP(A119,'1. CDM Schema Registry'!$A:$A,'1. CDM Schema Registry'!$C:$C,""),"")</f>
        <v/>
      </c>
    </row>
    <row r="120">
      <c r="H120" s="19">
        <f>IFERROR(XLOOKUP(A120,'1. CDM Schema Registry'!$A:$A,'1. CDM Schema Registry'!$C:$C,""),"")</f>
        <v/>
      </c>
    </row>
    <row r="121">
      <c r="H121" s="19">
        <f>IFERROR(XLOOKUP(A121,'1. CDM Schema Registry'!$A:$A,'1. CDM Schema Registry'!$C:$C,""),"")</f>
        <v/>
      </c>
    </row>
    <row r="122">
      <c r="H122" s="19">
        <f>IFERROR(XLOOKUP(A122,'1. CDM Schema Registry'!$A:$A,'1. CDM Schema Registry'!$C:$C,""),"")</f>
        <v/>
      </c>
    </row>
    <row r="123">
      <c r="H123" s="19">
        <f>IFERROR(XLOOKUP(A123,'1. CDM Schema Registry'!$A:$A,'1. CDM Schema Registry'!$C:$C,""),"")</f>
        <v/>
      </c>
    </row>
    <row r="124">
      <c r="H124" s="19">
        <f>IFERROR(XLOOKUP(A124,'1. CDM Schema Registry'!$A:$A,'1. CDM Schema Registry'!$C:$C,""),"")</f>
        <v/>
      </c>
    </row>
    <row r="125">
      <c r="H125" s="19">
        <f>IFERROR(XLOOKUP(A125,'1. CDM Schema Registry'!$A:$A,'1. CDM Schema Registry'!$C:$C,""),"")</f>
        <v/>
      </c>
    </row>
    <row r="126">
      <c r="H126" s="19">
        <f>IFERROR(XLOOKUP(A126,'1. CDM Schema Registry'!$A:$A,'1. CDM Schema Registry'!$C:$C,""),"")</f>
        <v/>
      </c>
    </row>
    <row r="127">
      <c r="H127" s="19">
        <f>IFERROR(XLOOKUP(A127,'1. CDM Schema Registry'!$A:$A,'1. CDM Schema Registry'!$C:$C,""),"")</f>
        <v/>
      </c>
    </row>
    <row r="128">
      <c r="H128" s="19">
        <f>IFERROR(XLOOKUP(A128,'1. CDM Schema Registry'!$A:$A,'1. CDM Schema Registry'!$C:$C,""),"")</f>
        <v/>
      </c>
    </row>
    <row r="129">
      <c r="H129" s="19">
        <f>IFERROR(XLOOKUP(A129,'1. CDM Schema Registry'!$A:$A,'1. CDM Schema Registry'!$C:$C,""),"")</f>
        <v/>
      </c>
    </row>
    <row r="130">
      <c r="H130" s="19">
        <f>IFERROR(XLOOKUP(A130,'1. CDM Schema Registry'!$A:$A,'1. CDM Schema Registry'!$C:$C,""),"")</f>
        <v/>
      </c>
    </row>
    <row r="131">
      <c r="H131" s="19">
        <f>IFERROR(XLOOKUP(A131,'1. CDM Schema Registry'!$A:$A,'1. CDM Schema Registry'!$C:$C,""),"")</f>
        <v/>
      </c>
    </row>
    <row r="132">
      <c r="H132" s="19">
        <f>IFERROR(XLOOKUP(A132,'1. CDM Schema Registry'!$A:$A,'1. CDM Schema Registry'!$C:$C,""),"")</f>
        <v/>
      </c>
    </row>
    <row r="133">
      <c r="H133" s="19">
        <f>IFERROR(XLOOKUP(A133,'1. CDM Schema Registry'!$A:$A,'1. CDM Schema Registry'!$C:$C,""),"")</f>
        <v/>
      </c>
    </row>
    <row r="134">
      <c r="H134" s="19">
        <f>IFERROR(XLOOKUP(A134,'1. CDM Schema Registry'!$A:$A,'1. CDM Schema Registry'!$C:$C,""),"")</f>
        <v/>
      </c>
    </row>
    <row r="135">
      <c r="H135" s="19">
        <f>IFERROR(XLOOKUP(A135,'1. CDM Schema Registry'!$A:$A,'1. CDM Schema Registry'!$C:$C,""),"")</f>
        <v/>
      </c>
    </row>
    <row r="136">
      <c r="H136" s="19">
        <f>IFERROR(XLOOKUP(A136,'1. CDM Schema Registry'!$A:$A,'1. CDM Schema Registry'!$C:$C,""),"")</f>
        <v/>
      </c>
    </row>
    <row r="137">
      <c r="H137" s="19">
        <f>IFERROR(XLOOKUP(A137,'1. CDM Schema Registry'!$A:$A,'1. CDM Schema Registry'!$C:$C,""),"")</f>
        <v/>
      </c>
    </row>
    <row r="138">
      <c r="H138" s="19">
        <f>IFERROR(XLOOKUP(A138,'1. CDM Schema Registry'!$A:$A,'1. CDM Schema Registry'!$C:$C,""),"")</f>
        <v/>
      </c>
    </row>
    <row r="139">
      <c r="H139" s="19">
        <f>IFERROR(XLOOKUP(A139,'1. CDM Schema Registry'!$A:$A,'1. CDM Schema Registry'!$C:$C,""),"")</f>
        <v/>
      </c>
    </row>
    <row r="140">
      <c r="H140" s="19">
        <f>IFERROR(XLOOKUP(A140,'1. CDM Schema Registry'!$A:$A,'1. CDM Schema Registry'!$C:$C,""),"")</f>
        <v/>
      </c>
    </row>
    <row r="141">
      <c r="H141" s="19">
        <f>IFERROR(XLOOKUP(A141,'1. CDM Schema Registry'!$A:$A,'1. CDM Schema Registry'!$C:$C,""),"")</f>
        <v/>
      </c>
    </row>
    <row r="142">
      <c r="H142" s="19">
        <f>IFERROR(XLOOKUP(A142,'1. CDM Schema Registry'!$A:$A,'1. CDM Schema Registry'!$C:$C,""),"")</f>
        <v/>
      </c>
    </row>
    <row r="143">
      <c r="H143" s="19">
        <f>IFERROR(XLOOKUP(A143,'1. CDM Schema Registry'!$A:$A,'1. CDM Schema Registry'!$C:$C,""),"")</f>
        <v/>
      </c>
    </row>
    <row r="144">
      <c r="H144" s="19">
        <f>IFERROR(XLOOKUP(A144,'1. CDM Schema Registry'!$A:$A,'1. CDM Schema Registry'!$C:$C,""),"")</f>
        <v/>
      </c>
    </row>
    <row r="145">
      <c r="H145" s="19">
        <f>IFERROR(XLOOKUP(A145,'1. CDM Schema Registry'!$A:$A,'1. CDM Schema Registry'!$C:$C,""),"")</f>
        <v/>
      </c>
    </row>
    <row r="146">
      <c r="H146" s="19">
        <f>IFERROR(XLOOKUP(A146,'1. CDM Schema Registry'!$A:$A,'1. CDM Schema Registry'!$C:$C,""),"")</f>
        <v/>
      </c>
    </row>
    <row r="147">
      <c r="H147" s="19">
        <f>IFERROR(XLOOKUP(A147,'1. CDM Schema Registry'!$A:$A,'1. CDM Schema Registry'!$C:$C,""),"")</f>
        <v/>
      </c>
    </row>
    <row r="148">
      <c r="H148" s="19">
        <f>IFERROR(XLOOKUP(A148,'1. CDM Schema Registry'!$A:$A,'1. CDM Schema Registry'!$C:$C,""),"")</f>
        <v/>
      </c>
    </row>
    <row r="149">
      <c r="H149" s="19">
        <f>IFERROR(XLOOKUP(A149,'1. CDM Schema Registry'!$A:$A,'1. CDM Schema Registry'!$C:$C,""),"")</f>
        <v/>
      </c>
    </row>
    <row r="150">
      <c r="H150" s="19">
        <f>IFERROR(XLOOKUP(A150,'1. CDM Schema Registry'!$A:$A,'1. CDM Schema Registry'!$C:$C,""),"")</f>
        <v/>
      </c>
    </row>
    <row r="151">
      <c r="H151" s="19">
        <f>IFERROR(XLOOKUP(A151,'1. CDM Schema Registry'!$A:$A,'1. CDM Schema Registry'!$C:$C,""),"")</f>
        <v/>
      </c>
    </row>
    <row r="152">
      <c r="H152" s="19">
        <f>IFERROR(XLOOKUP(A152,'1. CDM Schema Registry'!$A:$A,'1. CDM Schema Registry'!$C:$C,""),"")</f>
        <v/>
      </c>
    </row>
    <row r="153">
      <c r="H153" s="19">
        <f>IFERROR(XLOOKUP(A153,'1. CDM Schema Registry'!$A:$A,'1. CDM Schema Registry'!$C:$C,""),"")</f>
        <v/>
      </c>
    </row>
    <row r="154">
      <c r="H154" s="19">
        <f>IFERROR(XLOOKUP(A154,'1. CDM Schema Registry'!$A:$A,'1. CDM Schema Registry'!$C:$C,""),"")</f>
        <v/>
      </c>
    </row>
    <row r="155">
      <c r="H155" s="19">
        <f>IFERROR(XLOOKUP(A155,'1. CDM Schema Registry'!$A:$A,'1. CDM Schema Registry'!$C:$C,""),"")</f>
        <v/>
      </c>
    </row>
    <row r="156">
      <c r="H156" s="19">
        <f>IFERROR(XLOOKUP(A156,'1. CDM Schema Registry'!$A:$A,'1. CDM Schema Registry'!$C:$C,""),"")</f>
        <v/>
      </c>
    </row>
    <row r="157">
      <c r="H157" s="19">
        <f>IFERROR(XLOOKUP(A157,'1. CDM Schema Registry'!$A:$A,'1. CDM Schema Registry'!$C:$C,""),"")</f>
        <v/>
      </c>
    </row>
    <row r="158">
      <c r="H158" s="19">
        <f>IFERROR(XLOOKUP(A158,'1. CDM Schema Registry'!$A:$A,'1. CDM Schema Registry'!$C:$C,""),"")</f>
        <v/>
      </c>
    </row>
    <row r="159">
      <c r="H159" s="19">
        <f>IFERROR(XLOOKUP(A159,'1. CDM Schema Registry'!$A:$A,'1. CDM Schema Registry'!$C:$C,""),"")</f>
        <v/>
      </c>
    </row>
    <row r="160">
      <c r="H160" s="19">
        <f>IFERROR(XLOOKUP(A160,'1. CDM Schema Registry'!$A:$A,'1. CDM Schema Registry'!$C:$C,""),"")</f>
        <v/>
      </c>
    </row>
    <row r="161">
      <c r="H161" s="19">
        <f>IFERROR(XLOOKUP(A161,'1. CDM Schema Registry'!$A:$A,'1. CDM Schema Registry'!$C:$C,""),"")</f>
        <v/>
      </c>
    </row>
    <row r="162">
      <c r="H162" s="19">
        <f>IFERROR(XLOOKUP(A162,'1. CDM Schema Registry'!$A:$A,'1. CDM Schema Registry'!$C:$C,""),"")</f>
        <v/>
      </c>
    </row>
    <row r="163">
      <c r="H163" s="19">
        <f>IFERROR(XLOOKUP(A163,'1. CDM Schema Registry'!$A:$A,'1. CDM Schema Registry'!$C:$C,""),"")</f>
        <v/>
      </c>
    </row>
    <row r="164">
      <c r="H164" s="19">
        <f>IFERROR(XLOOKUP(A164,'1. CDM Schema Registry'!$A:$A,'1. CDM Schema Registry'!$C:$C,""),"")</f>
        <v/>
      </c>
    </row>
    <row r="165">
      <c r="H165" s="19">
        <f>IFERROR(XLOOKUP(A165,'1. CDM Schema Registry'!$A:$A,'1. CDM Schema Registry'!$C:$C,""),"")</f>
        <v/>
      </c>
    </row>
    <row r="166">
      <c r="H166" s="19">
        <f>IFERROR(XLOOKUP(A166,'1. CDM Schema Registry'!$A:$A,'1. CDM Schema Registry'!$C:$C,""),"")</f>
        <v/>
      </c>
    </row>
    <row r="167">
      <c r="H167" s="19">
        <f>IFERROR(XLOOKUP(A167,'1. CDM Schema Registry'!$A:$A,'1. CDM Schema Registry'!$C:$C,""),"")</f>
        <v/>
      </c>
    </row>
    <row r="168">
      <c r="H168" s="19">
        <f>IFERROR(XLOOKUP(A168,'1. CDM Schema Registry'!$A:$A,'1. CDM Schema Registry'!$C:$C,""),"")</f>
        <v/>
      </c>
    </row>
    <row r="169">
      <c r="H169" s="19">
        <f>IFERROR(XLOOKUP(A169,'1. CDM Schema Registry'!$A:$A,'1. CDM Schema Registry'!$C:$C,""),"")</f>
        <v/>
      </c>
    </row>
    <row r="170">
      <c r="H170" s="19">
        <f>IFERROR(XLOOKUP(A170,'1. CDM Schema Registry'!$A:$A,'1. CDM Schema Registry'!$C:$C,""),"")</f>
        <v/>
      </c>
    </row>
    <row r="171">
      <c r="H171" s="19">
        <f>IFERROR(XLOOKUP(A171,'1. CDM Schema Registry'!$A:$A,'1. CDM Schema Registry'!$C:$C,""),"")</f>
        <v/>
      </c>
    </row>
    <row r="172">
      <c r="H172" s="19">
        <f>IFERROR(XLOOKUP(A172,'1. CDM Schema Registry'!$A:$A,'1. CDM Schema Registry'!$C:$C,""),"")</f>
        <v/>
      </c>
    </row>
    <row r="173">
      <c r="H173" s="19">
        <f>IFERROR(XLOOKUP(A173,'1. CDM Schema Registry'!$A:$A,'1. CDM Schema Registry'!$C:$C,""),"")</f>
        <v/>
      </c>
    </row>
    <row r="174">
      <c r="H174" s="19">
        <f>IFERROR(XLOOKUP(A174,'1. CDM Schema Registry'!$A:$A,'1. CDM Schema Registry'!$C:$C,""),"")</f>
        <v/>
      </c>
    </row>
    <row r="175">
      <c r="H175" s="19">
        <f>IFERROR(XLOOKUP(A175,'1. CDM Schema Registry'!$A:$A,'1. CDM Schema Registry'!$C:$C,""),"")</f>
        <v/>
      </c>
    </row>
    <row r="176">
      <c r="H176" s="19">
        <f>IFERROR(XLOOKUP(A176,'1. CDM Schema Registry'!$A:$A,'1. CDM Schema Registry'!$C:$C,""),"")</f>
        <v/>
      </c>
    </row>
    <row r="177">
      <c r="H177" s="19">
        <f>IFERROR(XLOOKUP(A177,'1. CDM Schema Registry'!$A:$A,'1. CDM Schema Registry'!$C:$C,""),"")</f>
        <v/>
      </c>
    </row>
    <row r="178">
      <c r="H178" s="19">
        <f>IFERROR(XLOOKUP(A178,'1. CDM Schema Registry'!$A:$A,'1. CDM Schema Registry'!$C:$C,""),"")</f>
        <v/>
      </c>
    </row>
    <row r="179">
      <c r="H179" s="19">
        <f>IFERROR(XLOOKUP(A179,'1. CDM Schema Registry'!$A:$A,'1. CDM Schema Registry'!$C:$C,""),"")</f>
        <v/>
      </c>
    </row>
    <row r="180">
      <c r="H180" s="19">
        <f>IFERROR(XLOOKUP(A180,'1. CDM Schema Registry'!$A:$A,'1. CDM Schema Registry'!$C:$C,""),"")</f>
        <v/>
      </c>
    </row>
    <row r="181">
      <c r="H181" s="19">
        <f>IFERROR(XLOOKUP(A181,'1. CDM Schema Registry'!$A:$A,'1. CDM Schema Registry'!$C:$C,""),"")</f>
        <v/>
      </c>
    </row>
    <row r="182">
      <c r="H182" s="19">
        <f>IFERROR(XLOOKUP(A182,'1. CDM Schema Registry'!$A:$A,'1. CDM Schema Registry'!$C:$C,""),"")</f>
        <v/>
      </c>
    </row>
    <row r="183">
      <c r="H183" s="19">
        <f>IFERROR(XLOOKUP(A183,'1. CDM Schema Registry'!$A:$A,'1. CDM Schema Registry'!$C:$C,""),"")</f>
        <v/>
      </c>
    </row>
    <row r="184">
      <c r="H184" s="19">
        <f>IFERROR(XLOOKUP(A184,'1. CDM Schema Registry'!$A:$A,'1. CDM Schema Registry'!$C:$C,""),"")</f>
        <v/>
      </c>
    </row>
    <row r="185">
      <c r="H185" s="19">
        <f>IFERROR(XLOOKUP(A185,'1. CDM Schema Registry'!$A:$A,'1. CDM Schema Registry'!$C:$C,""),"")</f>
        <v/>
      </c>
    </row>
    <row r="186">
      <c r="H186" s="19">
        <f>IFERROR(XLOOKUP(A186,'1. CDM Schema Registry'!$A:$A,'1. CDM Schema Registry'!$C:$C,""),"")</f>
        <v/>
      </c>
    </row>
    <row r="187">
      <c r="H187" s="19">
        <f>IFERROR(XLOOKUP(A187,'1. CDM Schema Registry'!$A:$A,'1. CDM Schema Registry'!$C:$C,""),"")</f>
        <v/>
      </c>
    </row>
    <row r="188">
      <c r="H188" s="19">
        <f>IFERROR(XLOOKUP(A188,'1. CDM Schema Registry'!$A:$A,'1. CDM Schema Registry'!$C:$C,""),"")</f>
        <v/>
      </c>
    </row>
    <row r="189">
      <c r="H189" s="19">
        <f>IFERROR(XLOOKUP(A189,'1. CDM Schema Registry'!$A:$A,'1. CDM Schema Registry'!$C:$C,""),"")</f>
        <v/>
      </c>
    </row>
    <row r="190">
      <c r="H190" s="19">
        <f>IFERROR(XLOOKUP(A190,'1. CDM Schema Registry'!$A:$A,'1. CDM Schema Registry'!$C:$C,""),"")</f>
        <v/>
      </c>
    </row>
    <row r="191">
      <c r="H191" s="19">
        <f>IFERROR(XLOOKUP(A191,'1. CDM Schema Registry'!$A:$A,'1. CDM Schema Registry'!$C:$C,""),"")</f>
        <v/>
      </c>
    </row>
    <row r="192">
      <c r="H192" s="19">
        <f>IFERROR(XLOOKUP(A192,'1. CDM Schema Registry'!$A:$A,'1. CDM Schema Registry'!$C:$C,""),"")</f>
        <v/>
      </c>
    </row>
    <row r="193">
      <c r="H193" s="19">
        <f>IFERROR(XLOOKUP(A193,'1. CDM Schema Registry'!$A:$A,'1. CDM Schema Registry'!$C:$C,""),"")</f>
        <v/>
      </c>
    </row>
    <row r="194">
      <c r="H194" s="19">
        <f>IFERROR(XLOOKUP(A194,'1. CDM Schema Registry'!$A:$A,'1. CDM Schema Registry'!$C:$C,""),"")</f>
        <v/>
      </c>
    </row>
    <row r="195">
      <c r="H195" s="19">
        <f>IFERROR(XLOOKUP(A195,'1. CDM Schema Registry'!$A:$A,'1. CDM Schema Registry'!$C:$C,""),"")</f>
        <v/>
      </c>
    </row>
    <row r="196">
      <c r="H196" s="19">
        <f>IFERROR(XLOOKUP(A196,'1. CDM Schema Registry'!$A:$A,'1. CDM Schema Registry'!$C:$C,""),"")</f>
        <v/>
      </c>
    </row>
    <row r="197">
      <c r="H197" s="19">
        <f>IFERROR(XLOOKUP(A197,'1. CDM Schema Registry'!$A:$A,'1. CDM Schema Registry'!$C:$C,""),"")</f>
        <v/>
      </c>
    </row>
    <row r="198">
      <c r="H198" s="19">
        <f>IFERROR(XLOOKUP(A198,'1. CDM Schema Registry'!$A:$A,'1. CDM Schema Registry'!$C:$C,""),"")</f>
        <v/>
      </c>
    </row>
    <row r="199">
      <c r="H199" s="19">
        <f>IFERROR(XLOOKUP(A199,'1. CDM Schema Registry'!$A:$A,'1. CDM Schema Registry'!$C:$C,""),"")</f>
        <v/>
      </c>
    </row>
    <row r="200">
      <c r="H200" s="19">
        <f>IFERROR(XLOOKUP(A200,'1. CDM Schema Registry'!$A:$A,'1. CDM Schema Registry'!$C:$C,""),"")</f>
        <v/>
      </c>
    </row>
  </sheetData>
  <autoFilter ref="A2:H2"/>
  <mergeCells count="1">
    <mergeCell ref="A1:H1"/>
  </mergeCells>
  <dataValidations count="2">
    <dataValidation sqref="E3:E1000" showDropDown="0" showInputMessage="0" showErrorMessage="1" allowBlank="1" errorTitle="Invalid Entry" error="Please select a valid option." type="list">
      <formula1>"Active,Deprecated"</formula1>
    </dataValidation>
    <dataValidation sqref="A3:A1000" showDropDown="0" showInputMessage="0" showErrorMessage="1" allowBlank="1" errorTitle="Invalid Entry" error="Value must match an existing entry in the source tab." type="list">
      <formula1>CDM_Paths</formula1>
    </dataValidation>
  </dataValidation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I200"/>
  <sheetViews>
    <sheetView showGridLines="0" workbookViewId="0">
      <pane ySplit="2" topLeftCell="A3" activePane="bottomLeft" state="frozen"/>
      <selection pane="bottomLeft" activeCell="A1" sqref="A1"/>
    </sheetView>
  </sheetViews>
  <sheetFormatPr baseColWidth="8" defaultRowHeight="15"/>
  <cols>
    <col width="30" customWidth="1" min="1" max="1"/>
    <col width="26" customWidth="1" min="2" max="2"/>
    <col width="22" customWidth="1" min="3" max="3"/>
    <col width="30" customWidth="1" min="4" max="4"/>
    <col width="48" customWidth="1" min="5" max="5"/>
    <col width="18" customWidth="1" min="6" max="6"/>
    <col width="14" customWidth="1" min="7" max="7"/>
    <col width="38" customWidth="1" min="8" max="8"/>
    <col width="52" customWidth="1" min="9" max="9"/>
  </cols>
  <sheetData>
    <row r="1" ht="30" customHeight="1">
      <c r="A1" s="20" t="inlineStr">
        <is>
          <t>BDE to System of Record (SOR) Mapping  |  Tab 3</t>
        </is>
      </c>
    </row>
    <row r="2" ht="34" customHeight="1">
      <c r="A2" s="21" t="inlineStr">
        <is>
          <t>BDE Name</t>
        </is>
      </c>
      <c r="B2" s="21" t="inlineStr">
        <is>
          <t>System of Record (SOR)</t>
        </is>
      </c>
      <c r="C2" s="21" t="inlineStr">
        <is>
          <t>Product Type</t>
        </is>
      </c>
      <c r="D2" s="21" t="inlineStr">
        <is>
          <t>Source Attribute</t>
        </is>
      </c>
      <c r="E2" s="21" t="inlineStr">
        <is>
          <t>Transformation Logic</t>
        </is>
      </c>
      <c r="F2" s="21" t="inlineStr">
        <is>
          <t>Mapping Type</t>
        </is>
      </c>
      <c r="G2" s="21" t="inlineStr">
        <is>
          <t>Status</t>
        </is>
      </c>
      <c r="H2" s="21" t="inlineStr">
        <is>
          <t>Notes</t>
        </is>
      </c>
      <c r="I2" s="25" t="inlineStr">
        <is>
          <t>BDE Definition (auto)</t>
        </is>
      </c>
    </row>
    <row r="3" ht="48" customHeight="1">
      <c r="A3" s="22" t="inlineStr">
        <is>
          <t>Customer Full Name</t>
        </is>
      </c>
      <c r="B3" s="22" t="inlineStr">
        <is>
          <t>CRM_SYSTEM</t>
        </is>
      </c>
      <c r="C3" s="22" t="inlineStr">
        <is>
          <t>All Products</t>
        </is>
      </c>
      <c r="D3" s="22" t="inlineStr">
        <is>
          <t>CUST_FULL_NAME</t>
        </is>
      </c>
      <c r="E3" s="22" t="inlineStr">
        <is>
          <t>Trim whitespace. Apply title-case.</t>
        </is>
      </c>
      <c r="F3" s="22" t="inlineStr">
        <is>
          <t>Direct</t>
        </is>
      </c>
      <c r="G3" s="22" t="inlineStr">
        <is>
          <t>Active</t>
        </is>
      </c>
      <c r="H3" s="22" t="inlineStr"/>
      <c r="I3" s="19">
        <f>IFERROR(XLOOKUP(A3,'2. CDM to BDE Mapping'!$B:$B,'2. CDM to BDE Mapping'!$C:$C,""),"")</f>
        <v/>
      </c>
    </row>
    <row r="4" ht="48" customHeight="1">
      <c r="A4" s="23" t="inlineStr">
        <is>
          <t>Customer Full Name</t>
        </is>
      </c>
      <c r="B4" s="23" t="inlineStr">
        <is>
          <t>CORE_BANKING</t>
        </is>
      </c>
      <c r="C4" s="23" t="inlineStr">
        <is>
          <t>Deposit</t>
        </is>
      </c>
      <c r="D4" s="23" t="inlineStr">
        <is>
          <t>FIRST_NME + LAST_NME</t>
        </is>
      </c>
      <c r="E4" s="23" t="inlineStr">
        <is>
          <t>Concatenate FIRST_NME + ' ' + LAST_NME. Trim. Apply title-case.</t>
        </is>
      </c>
      <c r="F4" s="23" t="inlineStr">
        <is>
          <t>Transformed</t>
        </is>
      </c>
      <c r="G4" s="23" t="inlineStr">
        <is>
          <t>Active</t>
        </is>
      </c>
      <c r="H4" s="23" t="inlineStr">
        <is>
          <t>Core banking stores first and last name in separate fields.</t>
        </is>
      </c>
      <c r="I4" s="19">
        <f>IFERROR(XLOOKUP(A4,'2. CDM to BDE Mapping'!$B:$B,'2. CDM to BDE Mapping'!$C:$C,""),"")</f>
        <v/>
      </c>
    </row>
    <row r="5" ht="48" customHeight="1">
      <c r="A5" s="22" t="inlineStr">
        <is>
          <t>Customer Date of Birth</t>
        </is>
      </c>
      <c r="B5" s="22" t="inlineStr">
        <is>
          <t>CRM_SYSTEM</t>
        </is>
      </c>
      <c r="C5" s="22" t="inlineStr">
        <is>
          <t>All Products</t>
        </is>
      </c>
      <c r="D5" s="22" t="inlineStr">
        <is>
          <t>DATE_OF_BIRTH</t>
        </is>
      </c>
      <c r="E5" s="22" t="inlineStr">
        <is>
          <t>Convert from MM/DD/YYYY to ISO 8601 YYYY-MM-DD.</t>
        </is>
      </c>
      <c r="F5" s="22" t="inlineStr">
        <is>
          <t>Transformed</t>
        </is>
      </c>
      <c r="G5" s="22" t="inlineStr">
        <is>
          <t>Active</t>
        </is>
      </c>
      <c r="H5" s="22" t="inlineStr"/>
      <c r="I5" s="19">
        <f>IFERROR(XLOOKUP(A5,'2. CDM to BDE Mapping'!$B:$B,'2. CDM to BDE Mapping'!$C:$C,""),"")</f>
        <v/>
      </c>
    </row>
    <row r="6" ht="48" customHeight="1">
      <c r="A6" s="23" t="inlineStr">
        <is>
          <t>Customer Email Address</t>
        </is>
      </c>
      <c r="B6" s="23" t="inlineStr">
        <is>
          <t>CRM_SYSTEM</t>
        </is>
      </c>
      <c r="C6" s="23" t="inlineStr">
        <is>
          <t>All Products</t>
        </is>
      </c>
      <c r="D6" s="23" t="inlineStr">
        <is>
          <t>EMAIL_ADDR</t>
        </is>
      </c>
      <c r="E6" s="23" t="inlineStr">
        <is>
          <t>Lowercase. Validate against RFC 5321 format.</t>
        </is>
      </c>
      <c r="F6" s="23" t="inlineStr">
        <is>
          <t>Direct</t>
        </is>
      </c>
      <c r="G6" s="23" t="inlineStr">
        <is>
          <t>Active</t>
        </is>
      </c>
      <c r="H6" s="23" t="inlineStr"/>
      <c r="I6" s="19">
        <f>IFERROR(XLOOKUP(A6,'2. CDM to BDE Mapping'!$B:$B,'2. CDM to BDE Mapping'!$C:$C,""),"")</f>
        <v/>
      </c>
    </row>
    <row r="7" ht="48" customHeight="1">
      <c r="A7" s="22" t="inlineStr">
        <is>
          <t>Customer Annual Income Amount</t>
        </is>
      </c>
      <c r="B7" s="22" t="inlineStr">
        <is>
          <t>CRM_SYSTEM</t>
        </is>
      </c>
      <c r="C7" s="22" t="inlineStr">
        <is>
          <t>All Products</t>
        </is>
      </c>
      <c r="D7" s="22" t="inlineStr">
        <is>
          <t>ANNUAL_INCOME</t>
        </is>
      </c>
      <c r="E7" s="22" t="inlineStr">
        <is>
          <t>Cast to Decimal(18,6). Null treated as not provided.</t>
        </is>
      </c>
      <c r="F7" s="22" t="inlineStr">
        <is>
          <t>Direct</t>
        </is>
      </c>
      <c r="G7" s="22" t="inlineStr">
        <is>
          <t>Active</t>
        </is>
      </c>
      <c r="H7" s="22" t="inlineStr"/>
      <c r="I7" s="19">
        <f>IFERROR(XLOOKUP(A7,'2. CDM to BDE Mapping'!$B:$B,'2. CDM to BDE Mapping'!$C:$C,""),"")</f>
        <v/>
      </c>
    </row>
    <row r="8" ht="48" customHeight="1">
      <c r="A8" s="23" t="inlineStr">
        <is>
          <t>Account Current Balance</t>
        </is>
      </c>
      <c r="B8" s="23" t="inlineStr">
        <is>
          <t>CORE_BANKING</t>
        </is>
      </c>
      <c r="C8" s="23" t="inlineStr">
        <is>
          <t>Deposit</t>
        </is>
      </c>
      <c r="D8" s="23" t="inlineStr">
        <is>
          <t>CURR_BAL_AMT</t>
        </is>
      </c>
      <c r="E8" s="23" t="inlineStr">
        <is>
          <t>Cast to Decimal(18,6). Null handled as 0.00.</t>
        </is>
      </c>
      <c r="F8" s="23" t="inlineStr">
        <is>
          <t>Direct</t>
        </is>
      </c>
      <c r="G8" s="23" t="inlineStr">
        <is>
          <t>Active</t>
        </is>
      </c>
      <c r="H8" s="23" t="inlineStr"/>
      <c r="I8" s="19">
        <f>IFERROR(XLOOKUP(A8,'2. CDM to BDE Mapping'!$B:$B,'2. CDM to BDE Mapping'!$C:$C,""),"")</f>
        <v/>
      </c>
    </row>
    <row r="9" ht="48" customHeight="1">
      <c r="A9" s="22" t="inlineStr">
        <is>
          <t>Account Current Balance</t>
        </is>
      </c>
      <c r="B9" s="22" t="inlineStr">
        <is>
          <t>PORTFOLIO_MGMT</t>
        </is>
      </c>
      <c r="C9" s="22" t="inlineStr">
        <is>
          <t>Investment</t>
        </is>
      </c>
      <c r="D9" s="22" t="inlineStr">
        <is>
          <t>PORTFOLIO_VALUE</t>
        </is>
      </c>
      <c r="E9" s="22" t="inlineStr">
        <is>
          <t>Sum POSITION_MKT_VALUE across all holdings for the account. Point-in-time snapshot.</t>
        </is>
      </c>
      <c r="F9" s="22" t="inlineStr">
        <is>
          <t>Derived</t>
        </is>
      </c>
      <c r="G9" s="22" t="inlineStr">
        <is>
          <t>Active</t>
        </is>
      </c>
      <c r="H9" s="22" t="inlineStr">
        <is>
          <t>Derived from multiple position-level records.</t>
        </is>
      </c>
      <c r="I9" s="19">
        <f>IFERROR(XLOOKUP(A9,'2. CDM to BDE Mapping'!$B:$B,'2. CDM to BDE Mapping'!$C:$C,""),"")</f>
        <v/>
      </c>
    </row>
    <row r="10" ht="48" customHeight="1">
      <c r="A10" s="23" t="inlineStr">
        <is>
          <t>Account Currency Code</t>
        </is>
      </c>
      <c r="B10" s="23" t="inlineStr">
        <is>
          <t>CORE_BANKING</t>
        </is>
      </c>
      <c r="C10" s="23" t="inlineStr">
        <is>
          <t>Deposit</t>
        </is>
      </c>
      <c r="D10" s="23" t="inlineStr">
        <is>
          <t>CURRENCY_CD</t>
        </is>
      </c>
      <c r="E10" s="23" t="inlineStr">
        <is>
          <t>Validate against ISO 4217 reference table.</t>
        </is>
      </c>
      <c r="F10" s="23" t="inlineStr">
        <is>
          <t>Direct</t>
        </is>
      </c>
      <c r="G10" s="23" t="inlineStr">
        <is>
          <t>Active</t>
        </is>
      </c>
      <c r="H10" s="23" t="inlineStr"/>
      <c r="I10" s="19">
        <f>IFERROR(XLOOKUP(A10,'2. CDM to BDE Mapping'!$B:$B,'2. CDM to BDE Mapping'!$C:$C,""),"")</f>
        <v/>
      </c>
    </row>
    <row r="11" ht="48" customHeight="1">
      <c r="A11" s="22" t="inlineStr">
        <is>
          <t>Account Currency Code</t>
        </is>
      </c>
      <c r="B11" s="22" t="inlineStr">
        <is>
          <t>PORTFOLIO_MGMT</t>
        </is>
      </c>
      <c r="C11" s="22" t="inlineStr">
        <is>
          <t>Investment</t>
        </is>
      </c>
      <c r="D11" s="22" t="inlineStr">
        <is>
          <t>BASE_CCY</t>
        </is>
      </c>
      <c r="E11" s="22" t="inlineStr">
        <is>
          <t>Validate against ISO 4217 reference table.</t>
        </is>
      </c>
      <c r="F11" s="22" t="inlineStr">
        <is>
          <t>Direct</t>
        </is>
      </c>
      <c r="G11" s="22" t="inlineStr">
        <is>
          <t>Active</t>
        </is>
      </c>
      <c r="H11" s="22" t="inlineStr"/>
      <c r="I11" s="19">
        <f>IFERROR(XLOOKUP(A11,'2. CDM to BDE Mapping'!$B:$B,'2. CDM to BDE Mapping'!$C:$C,""),"")</f>
        <v/>
      </c>
    </row>
    <row r="12" ht="48" customHeight="1">
      <c r="A12" s="23" t="inlineStr">
        <is>
          <t>Account Status</t>
        </is>
      </c>
      <c r="B12" s="23" t="inlineStr">
        <is>
          <t>CORE_BANKING</t>
        </is>
      </c>
      <c r="C12" s="23" t="inlineStr">
        <is>
          <t>All Products</t>
        </is>
      </c>
      <c r="D12" s="23" t="inlineStr">
        <is>
          <t>ACCT_STAT_CD</t>
        </is>
      </c>
      <c r="E12" s="23" t="inlineStr">
        <is>
          <t>Apply lookup: A = Active, C = Closed, S = Suspended.</t>
        </is>
      </c>
      <c r="F12" s="23" t="inlineStr">
        <is>
          <t>Conditional</t>
        </is>
      </c>
      <c r="G12" s="23" t="inlineStr">
        <is>
          <t>Active</t>
        </is>
      </c>
      <c r="H12" s="23" t="inlineStr">
        <is>
          <t>Source uses proprietary single-character codes.</t>
        </is>
      </c>
      <c r="I12" s="19">
        <f>IFERROR(XLOOKUP(A12,'2. CDM to BDE Mapping'!$B:$B,'2. CDM to BDE Mapping'!$C:$C,""),"")</f>
        <v/>
      </c>
    </row>
    <row r="13" ht="48" customHeight="1">
      <c r="A13" s="22" t="inlineStr">
        <is>
          <t>Product Type Code</t>
        </is>
      </c>
      <c r="B13" s="22" t="inlineStr">
        <is>
          <t>CORE_BANKING</t>
        </is>
      </c>
      <c r="C13" s="22" t="inlineStr">
        <is>
          <t>All Products</t>
        </is>
      </c>
      <c r="D13" s="22" t="inlineStr">
        <is>
          <t>PROD_TYPE_CD</t>
        </is>
      </c>
      <c r="E13" s="22" t="inlineStr">
        <is>
          <t>Map to WCDM product taxonomy lookup table.</t>
        </is>
      </c>
      <c r="F13" s="22" t="inlineStr">
        <is>
          <t>Conditional</t>
        </is>
      </c>
      <c r="G13" s="22" t="inlineStr">
        <is>
          <t>Active</t>
        </is>
      </c>
      <c r="H13" s="22" t="inlineStr">
        <is>
          <t>Lookup table maintained by Product team.</t>
        </is>
      </c>
      <c r="I13" s="19">
        <f>IFERROR(XLOOKUP(A13,'2. CDM to BDE Mapping'!$B:$B,'2. CDM to BDE Mapping'!$C:$C,""),"")</f>
        <v/>
      </c>
    </row>
    <row r="14" ht="48" customHeight="1">
      <c r="A14" s="23" t="inlineStr">
        <is>
          <t>Transaction Amount</t>
        </is>
      </c>
      <c r="B14" s="23" t="inlineStr">
        <is>
          <t>CORE_BANKING</t>
        </is>
      </c>
      <c r="C14" s="23" t="inlineStr">
        <is>
          <t>Deposit</t>
        </is>
      </c>
      <c r="D14" s="23" t="inlineStr">
        <is>
          <t>TXN_AMT</t>
        </is>
      </c>
      <c r="E14" s="23" t="inlineStr">
        <is>
          <t>Take absolute value. Credit/debit direction handled by a separate BDE.</t>
        </is>
      </c>
      <c r="F14" s="23" t="inlineStr">
        <is>
          <t>Direct</t>
        </is>
      </c>
      <c r="G14" s="23" t="inlineStr">
        <is>
          <t>Active</t>
        </is>
      </c>
      <c r="H14" s="23" t="inlineStr"/>
      <c r="I14" s="19">
        <f>IFERROR(XLOOKUP(A14,'2. CDM to BDE Mapping'!$B:$B,'2. CDM to BDE Mapping'!$C:$C,""),"")</f>
        <v/>
      </c>
    </row>
    <row r="15" ht="48" customHeight="1">
      <c r="A15" s="22" t="inlineStr">
        <is>
          <t>Transaction Amount</t>
        </is>
      </c>
      <c r="B15" s="22" t="inlineStr">
        <is>
          <t>TRADE_SYSTEM</t>
        </is>
      </c>
      <c r="C15" s="22" t="inlineStr">
        <is>
          <t>Investment</t>
        </is>
      </c>
      <c r="D15" s="22" t="inlineStr">
        <is>
          <t>TRADE_GROSS_AMT</t>
        </is>
      </c>
      <c r="E15" s="22" t="inlineStr">
        <is>
          <t>Cast to Decimal(18,6). Exclude accrued interest.</t>
        </is>
      </c>
      <c r="F15" s="22" t="inlineStr">
        <is>
          <t>Transformed</t>
        </is>
      </c>
      <c r="G15" s="22" t="inlineStr">
        <is>
          <t>Active</t>
        </is>
      </c>
      <c r="H15" s="22" t="inlineStr"/>
      <c r="I15" s="19">
        <f>IFERROR(XLOOKUP(A15,'2. CDM to BDE Mapping'!$B:$B,'2. CDM to BDE Mapping'!$C:$C,""),"")</f>
        <v/>
      </c>
    </row>
    <row r="16" ht="48" customHeight="1">
      <c r="A16" s="23" t="inlineStr">
        <is>
          <t>Transaction Effective Date</t>
        </is>
      </c>
      <c r="B16" s="23" t="inlineStr">
        <is>
          <t>CORE_BANKING</t>
        </is>
      </c>
      <c r="C16" s="23" t="inlineStr">
        <is>
          <t>Deposit</t>
        </is>
      </c>
      <c r="D16" s="23" t="inlineStr">
        <is>
          <t>VALUE_DT</t>
        </is>
      </c>
      <c r="E16" s="23" t="inlineStr">
        <is>
          <t>Convert from YYYYMMDD integer format to ISO 8601 Date.</t>
        </is>
      </c>
      <c r="F16" s="23" t="inlineStr">
        <is>
          <t>Transformed</t>
        </is>
      </c>
      <c r="G16" s="23" t="inlineStr">
        <is>
          <t>Active</t>
        </is>
      </c>
      <c r="H16" s="23" t="inlineStr"/>
      <c r="I16" s="19">
        <f>IFERROR(XLOOKUP(A16,'2. CDM to BDE Mapping'!$B:$B,'2. CDM to BDE Mapping'!$C:$C,""),"")</f>
        <v/>
      </c>
    </row>
    <row r="17" ht="48" customHeight="1">
      <c r="A17" s="22" t="inlineStr">
        <is>
          <t>Transaction Effective Date</t>
        </is>
      </c>
      <c r="B17" s="22" t="inlineStr">
        <is>
          <t>TRADE_SYSTEM</t>
        </is>
      </c>
      <c r="C17" s="22" t="inlineStr">
        <is>
          <t>Investment</t>
        </is>
      </c>
      <c r="D17" s="22" t="inlineStr">
        <is>
          <t>SETTLEMENT_DATE</t>
        </is>
      </c>
      <c r="E17" s="22" t="inlineStr">
        <is>
          <t>Convert from MM/DD/YYYY to ISO 8601 YYYY-MM-DD.</t>
        </is>
      </c>
      <c r="F17" s="22" t="inlineStr">
        <is>
          <t>Transformed</t>
        </is>
      </c>
      <c r="G17" s="22" t="inlineStr">
        <is>
          <t>Active</t>
        </is>
      </c>
      <c r="H17" s="22" t="inlineStr"/>
      <c r="I17" s="19">
        <f>IFERROR(XLOOKUP(A17,'2. CDM to BDE Mapping'!$B:$B,'2. CDM to BDE Mapping'!$C:$C,""),"")</f>
        <v/>
      </c>
    </row>
    <row r="18">
      <c r="I18" s="19">
        <f>IFERROR(XLOOKUP(A18,'2. CDM to BDE Mapping'!$B:$B,'2. CDM to BDE Mapping'!$C:$C,""),"")</f>
        <v/>
      </c>
    </row>
    <row r="19">
      <c r="I19" s="19">
        <f>IFERROR(XLOOKUP(A19,'2. CDM to BDE Mapping'!$B:$B,'2. CDM to BDE Mapping'!$C:$C,""),"")</f>
        <v/>
      </c>
    </row>
    <row r="20">
      <c r="I20" s="19">
        <f>IFERROR(XLOOKUP(A20,'2. CDM to BDE Mapping'!$B:$B,'2. CDM to BDE Mapping'!$C:$C,""),"")</f>
        <v/>
      </c>
    </row>
    <row r="21">
      <c r="I21" s="19">
        <f>IFERROR(XLOOKUP(A21,'2. CDM to BDE Mapping'!$B:$B,'2. CDM to BDE Mapping'!$C:$C,""),"")</f>
        <v/>
      </c>
    </row>
    <row r="22">
      <c r="I22" s="19">
        <f>IFERROR(XLOOKUP(A22,'2. CDM to BDE Mapping'!$B:$B,'2. CDM to BDE Mapping'!$C:$C,""),"")</f>
        <v/>
      </c>
    </row>
    <row r="23">
      <c r="I23" s="19">
        <f>IFERROR(XLOOKUP(A23,'2. CDM to BDE Mapping'!$B:$B,'2. CDM to BDE Mapping'!$C:$C,""),"")</f>
        <v/>
      </c>
    </row>
    <row r="24">
      <c r="I24" s="19">
        <f>IFERROR(XLOOKUP(A24,'2. CDM to BDE Mapping'!$B:$B,'2. CDM to BDE Mapping'!$C:$C,""),"")</f>
        <v/>
      </c>
    </row>
    <row r="25">
      <c r="I25" s="19">
        <f>IFERROR(XLOOKUP(A25,'2. CDM to BDE Mapping'!$B:$B,'2. CDM to BDE Mapping'!$C:$C,""),"")</f>
        <v/>
      </c>
    </row>
    <row r="26">
      <c r="I26" s="19">
        <f>IFERROR(XLOOKUP(A26,'2. CDM to BDE Mapping'!$B:$B,'2. CDM to BDE Mapping'!$C:$C,""),"")</f>
        <v/>
      </c>
    </row>
    <row r="27">
      <c r="I27" s="19">
        <f>IFERROR(XLOOKUP(A27,'2. CDM to BDE Mapping'!$B:$B,'2. CDM to BDE Mapping'!$C:$C,""),"")</f>
        <v/>
      </c>
    </row>
    <row r="28">
      <c r="I28" s="19">
        <f>IFERROR(XLOOKUP(A28,'2. CDM to BDE Mapping'!$B:$B,'2. CDM to BDE Mapping'!$C:$C,""),"")</f>
        <v/>
      </c>
    </row>
    <row r="29">
      <c r="I29" s="19">
        <f>IFERROR(XLOOKUP(A29,'2. CDM to BDE Mapping'!$B:$B,'2. CDM to BDE Mapping'!$C:$C,""),"")</f>
        <v/>
      </c>
    </row>
    <row r="30">
      <c r="I30" s="19">
        <f>IFERROR(XLOOKUP(A30,'2. CDM to BDE Mapping'!$B:$B,'2. CDM to BDE Mapping'!$C:$C,""),"")</f>
        <v/>
      </c>
    </row>
    <row r="31">
      <c r="I31" s="19">
        <f>IFERROR(XLOOKUP(A31,'2. CDM to BDE Mapping'!$B:$B,'2. CDM to BDE Mapping'!$C:$C,""),"")</f>
        <v/>
      </c>
    </row>
    <row r="32">
      <c r="I32" s="19">
        <f>IFERROR(XLOOKUP(A32,'2. CDM to BDE Mapping'!$B:$B,'2. CDM to BDE Mapping'!$C:$C,""),"")</f>
        <v/>
      </c>
    </row>
    <row r="33">
      <c r="I33" s="19">
        <f>IFERROR(XLOOKUP(A33,'2. CDM to BDE Mapping'!$B:$B,'2. CDM to BDE Mapping'!$C:$C,""),"")</f>
        <v/>
      </c>
    </row>
    <row r="34">
      <c r="I34" s="19">
        <f>IFERROR(XLOOKUP(A34,'2. CDM to BDE Mapping'!$B:$B,'2. CDM to BDE Mapping'!$C:$C,""),"")</f>
        <v/>
      </c>
    </row>
    <row r="35">
      <c r="I35" s="19">
        <f>IFERROR(XLOOKUP(A35,'2. CDM to BDE Mapping'!$B:$B,'2. CDM to BDE Mapping'!$C:$C,""),"")</f>
        <v/>
      </c>
    </row>
    <row r="36">
      <c r="I36" s="19">
        <f>IFERROR(XLOOKUP(A36,'2. CDM to BDE Mapping'!$B:$B,'2. CDM to BDE Mapping'!$C:$C,""),"")</f>
        <v/>
      </c>
    </row>
    <row r="37">
      <c r="I37" s="19">
        <f>IFERROR(XLOOKUP(A37,'2. CDM to BDE Mapping'!$B:$B,'2. CDM to BDE Mapping'!$C:$C,""),"")</f>
        <v/>
      </c>
    </row>
    <row r="38">
      <c r="I38" s="19">
        <f>IFERROR(XLOOKUP(A38,'2. CDM to BDE Mapping'!$B:$B,'2. CDM to BDE Mapping'!$C:$C,""),"")</f>
        <v/>
      </c>
    </row>
    <row r="39">
      <c r="I39" s="19">
        <f>IFERROR(XLOOKUP(A39,'2. CDM to BDE Mapping'!$B:$B,'2. CDM to BDE Mapping'!$C:$C,""),"")</f>
        <v/>
      </c>
    </row>
    <row r="40">
      <c r="I40" s="19">
        <f>IFERROR(XLOOKUP(A40,'2. CDM to BDE Mapping'!$B:$B,'2. CDM to BDE Mapping'!$C:$C,""),"")</f>
        <v/>
      </c>
    </row>
    <row r="41">
      <c r="I41" s="19">
        <f>IFERROR(XLOOKUP(A41,'2. CDM to BDE Mapping'!$B:$B,'2. CDM to BDE Mapping'!$C:$C,""),"")</f>
        <v/>
      </c>
    </row>
    <row r="42">
      <c r="I42" s="19">
        <f>IFERROR(XLOOKUP(A42,'2. CDM to BDE Mapping'!$B:$B,'2. CDM to BDE Mapping'!$C:$C,""),"")</f>
        <v/>
      </c>
    </row>
    <row r="43">
      <c r="I43" s="19">
        <f>IFERROR(XLOOKUP(A43,'2. CDM to BDE Mapping'!$B:$B,'2. CDM to BDE Mapping'!$C:$C,""),"")</f>
        <v/>
      </c>
    </row>
    <row r="44">
      <c r="I44" s="19">
        <f>IFERROR(XLOOKUP(A44,'2. CDM to BDE Mapping'!$B:$B,'2. CDM to BDE Mapping'!$C:$C,""),"")</f>
        <v/>
      </c>
    </row>
    <row r="45">
      <c r="I45" s="19">
        <f>IFERROR(XLOOKUP(A45,'2. CDM to BDE Mapping'!$B:$B,'2. CDM to BDE Mapping'!$C:$C,""),"")</f>
        <v/>
      </c>
    </row>
    <row r="46">
      <c r="I46" s="19">
        <f>IFERROR(XLOOKUP(A46,'2. CDM to BDE Mapping'!$B:$B,'2. CDM to BDE Mapping'!$C:$C,""),"")</f>
        <v/>
      </c>
    </row>
    <row r="47">
      <c r="I47" s="19">
        <f>IFERROR(XLOOKUP(A47,'2. CDM to BDE Mapping'!$B:$B,'2. CDM to BDE Mapping'!$C:$C,""),"")</f>
        <v/>
      </c>
    </row>
    <row r="48">
      <c r="I48" s="19">
        <f>IFERROR(XLOOKUP(A48,'2. CDM to BDE Mapping'!$B:$B,'2. CDM to BDE Mapping'!$C:$C,""),"")</f>
        <v/>
      </c>
    </row>
    <row r="49">
      <c r="I49" s="19">
        <f>IFERROR(XLOOKUP(A49,'2. CDM to BDE Mapping'!$B:$B,'2. CDM to BDE Mapping'!$C:$C,""),"")</f>
        <v/>
      </c>
    </row>
    <row r="50">
      <c r="I50" s="19">
        <f>IFERROR(XLOOKUP(A50,'2. CDM to BDE Mapping'!$B:$B,'2. CDM to BDE Mapping'!$C:$C,""),"")</f>
        <v/>
      </c>
    </row>
    <row r="51">
      <c r="I51" s="19">
        <f>IFERROR(XLOOKUP(A51,'2. CDM to BDE Mapping'!$B:$B,'2. CDM to BDE Mapping'!$C:$C,""),"")</f>
        <v/>
      </c>
    </row>
    <row r="52">
      <c r="I52" s="19">
        <f>IFERROR(XLOOKUP(A52,'2. CDM to BDE Mapping'!$B:$B,'2. CDM to BDE Mapping'!$C:$C,""),"")</f>
        <v/>
      </c>
    </row>
    <row r="53">
      <c r="I53" s="19">
        <f>IFERROR(XLOOKUP(A53,'2. CDM to BDE Mapping'!$B:$B,'2. CDM to BDE Mapping'!$C:$C,""),"")</f>
        <v/>
      </c>
    </row>
    <row r="54">
      <c r="I54" s="19">
        <f>IFERROR(XLOOKUP(A54,'2. CDM to BDE Mapping'!$B:$B,'2. CDM to BDE Mapping'!$C:$C,""),"")</f>
        <v/>
      </c>
    </row>
    <row r="55">
      <c r="I55" s="19">
        <f>IFERROR(XLOOKUP(A55,'2. CDM to BDE Mapping'!$B:$B,'2. CDM to BDE Mapping'!$C:$C,""),"")</f>
        <v/>
      </c>
    </row>
    <row r="56">
      <c r="I56" s="19">
        <f>IFERROR(XLOOKUP(A56,'2. CDM to BDE Mapping'!$B:$B,'2. CDM to BDE Mapping'!$C:$C,""),"")</f>
        <v/>
      </c>
    </row>
    <row r="57">
      <c r="I57" s="19">
        <f>IFERROR(XLOOKUP(A57,'2. CDM to BDE Mapping'!$B:$B,'2. CDM to BDE Mapping'!$C:$C,""),"")</f>
        <v/>
      </c>
    </row>
    <row r="58">
      <c r="I58" s="19">
        <f>IFERROR(XLOOKUP(A58,'2. CDM to BDE Mapping'!$B:$B,'2. CDM to BDE Mapping'!$C:$C,""),"")</f>
        <v/>
      </c>
    </row>
    <row r="59">
      <c r="I59" s="19">
        <f>IFERROR(XLOOKUP(A59,'2. CDM to BDE Mapping'!$B:$B,'2. CDM to BDE Mapping'!$C:$C,""),"")</f>
        <v/>
      </c>
    </row>
    <row r="60">
      <c r="I60" s="19">
        <f>IFERROR(XLOOKUP(A60,'2. CDM to BDE Mapping'!$B:$B,'2. CDM to BDE Mapping'!$C:$C,""),"")</f>
        <v/>
      </c>
    </row>
    <row r="61">
      <c r="I61" s="19">
        <f>IFERROR(XLOOKUP(A61,'2. CDM to BDE Mapping'!$B:$B,'2. CDM to BDE Mapping'!$C:$C,""),"")</f>
        <v/>
      </c>
    </row>
    <row r="62">
      <c r="I62" s="19">
        <f>IFERROR(XLOOKUP(A62,'2. CDM to BDE Mapping'!$B:$B,'2. CDM to BDE Mapping'!$C:$C,""),"")</f>
        <v/>
      </c>
    </row>
    <row r="63">
      <c r="I63" s="19">
        <f>IFERROR(XLOOKUP(A63,'2. CDM to BDE Mapping'!$B:$B,'2. CDM to BDE Mapping'!$C:$C,""),"")</f>
        <v/>
      </c>
    </row>
    <row r="64">
      <c r="I64" s="19">
        <f>IFERROR(XLOOKUP(A64,'2. CDM to BDE Mapping'!$B:$B,'2. CDM to BDE Mapping'!$C:$C,""),"")</f>
        <v/>
      </c>
    </row>
    <row r="65">
      <c r="I65" s="19">
        <f>IFERROR(XLOOKUP(A65,'2. CDM to BDE Mapping'!$B:$B,'2. CDM to BDE Mapping'!$C:$C,""),"")</f>
        <v/>
      </c>
    </row>
    <row r="66">
      <c r="I66" s="19">
        <f>IFERROR(XLOOKUP(A66,'2. CDM to BDE Mapping'!$B:$B,'2. CDM to BDE Mapping'!$C:$C,""),"")</f>
        <v/>
      </c>
    </row>
    <row r="67">
      <c r="I67" s="19">
        <f>IFERROR(XLOOKUP(A67,'2. CDM to BDE Mapping'!$B:$B,'2. CDM to BDE Mapping'!$C:$C,""),"")</f>
        <v/>
      </c>
    </row>
    <row r="68">
      <c r="I68" s="19">
        <f>IFERROR(XLOOKUP(A68,'2. CDM to BDE Mapping'!$B:$B,'2. CDM to BDE Mapping'!$C:$C,""),"")</f>
        <v/>
      </c>
    </row>
    <row r="69">
      <c r="I69" s="19">
        <f>IFERROR(XLOOKUP(A69,'2. CDM to BDE Mapping'!$B:$B,'2. CDM to BDE Mapping'!$C:$C,""),"")</f>
        <v/>
      </c>
    </row>
    <row r="70">
      <c r="I70" s="19">
        <f>IFERROR(XLOOKUP(A70,'2. CDM to BDE Mapping'!$B:$B,'2. CDM to BDE Mapping'!$C:$C,""),"")</f>
        <v/>
      </c>
    </row>
    <row r="71">
      <c r="I71" s="19">
        <f>IFERROR(XLOOKUP(A71,'2. CDM to BDE Mapping'!$B:$B,'2. CDM to BDE Mapping'!$C:$C,""),"")</f>
        <v/>
      </c>
    </row>
    <row r="72">
      <c r="I72" s="19">
        <f>IFERROR(XLOOKUP(A72,'2. CDM to BDE Mapping'!$B:$B,'2. CDM to BDE Mapping'!$C:$C,""),"")</f>
        <v/>
      </c>
    </row>
    <row r="73">
      <c r="I73" s="19">
        <f>IFERROR(XLOOKUP(A73,'2. CDM to BDE Mapping'!$B:$B,'2. CDM to BDE Mapping'!$C:$C,""),"")</f>
        <v/>
      </c>
    </row>
    <row r="74">
      <c r="I74" s="19">
        <f>IFERROR(XLOOKUP(A74,'2. CDM to BDE Mapping'!$B:$B,'2. CDM to BDE Mapping'!$C:$C,""),"")</f>
        <v/>
      </c>
    </row>
    <row r="75">
      <c r="I75" s="19">
        <f>IFERROR(XLOOKUP(A75,'2. CDM to BDE Mapping'!$B:$B,'2. CDM to BDE Mapping'!$C:$C,""),"")</f>
        <v/>
      </c>
    </row>
    <row r="76">
      <c r="I76" s="19">
        <f>IFERROR(XLOOKUP(A76,'2. CDM to BDE Mapping'!$B:$B,'2. CDM to BDE Mapping'!$C:$C,""),"")</f>
        <v/>
      </c>
    </row>
    <row r="77">
      <c r="I77" s="19">
        <f>IFERROR(XLOOKUP(A77,'2. CDM to BDE Mapping'!$B:$B,'2. CDM to BDE Mapping'!$C:$C,""),"")</f>
        <v/>
      </c>
    </row>
    <row r="78">
      <c r="I78" s="19">
        <f>IFERROR(XLOOKUP(A78,'2. CDM to BDE Mapping'!$B:$B,'2. CDM to BDE Mapping'!$C:$C,""),"")</f>
        <v/>
      </c>
    </row>
    <row r="79">
      <c r="I79" s="19">
        <f>IFERROR(XLOOKUP(A79,'2. CDM to BDE Mapping'!$B:$B,'2. CDM to BDE Mapping'!$C:$C,""),"")</f>
        <v/>
      </c>
    </row>
    <row r="80">
      <c r="I80" s="19">
        <f>IFERROR(XLOOKUP(A80,'2. CDM to BDE Mapping'!$B:$B,'2. CDM to BDE Mapping'!$C:$C,""),"")</f>
        <v/>
      </c>
    </row>
    <row r="81">
      <c r="I81" s="19">
        <f>IFERROR(XLOOKUP(A81,'2. CDM to BDE Mapping'!$B:$B,'2. CDM to BDE Mapping'!$C:$C,""),"")</f>
        <v/>
      </c>
    </row>
    <row r="82">
      <c r="I82" s="19">
        <f>IFERROR(XLOOKUP(A82,'2. CDM to BDE Mapping'!$B:$B,'2. CDM to BDE Mapping'!$C:$C,""),"")</f>
        <v/>
      </c>
    </row>
    <row r="83">
      <c r="I83" s="19">
        <f>IFERROR(XLOOKUP(A83,'2. CDM to BDE Mapping'!$B:$B,'2. CDM to BDE Mapping'!$C:$C,""),"")</f>
        <v/>
      </c>
    </row>
    <row r="84">
      <c r="I84" s="19">
        <f>IFERROR(XLOOKUP(A84,'2. CDM to BDE Mapping'!$B:$B,'2. CDM to BDE Mapping'!$C:$C,""),"")</f>
        <v/>
      </c>
    </row>
    <row r="85">
      <c r="I85" s="19">
        <f>IFERROR(XLOOKUP(A85,'2. CDM to BDE Mapping'!$B:$B,'2. CDM to BDE Mapping'!$C:$C,""),"")</f>
        <v/>
      </c>
    </row>
    <row r="86">
      <c r="I86" s="19">
        <f>IFERROR(XLOOKUP(A86,'2. CDM to BDE Mapping'!$B:$B,'2. CDM to BDE Mapping'!$C:$C,""),"")</f>
        <v/>
      </c>
    </row>
    <row r="87">
      <c r="I87" s="19">
        <f>IFERROR(XLOOKUP(A87,'2. CDM to BDE Mapping'!$B:$B,'2. CDM to BDE Mapping'!$C:$C,""),"")</f>
        <v/>
      </c>
    </row>
    <row r="88">
      <c r="I88" s="19">
        <f>IFERROR(XLOOKUP(A88,'2. CDM to BDE Mapping'!$B:$B,'2. CDM to BDE Mapping'!$C:$C,""),"")</f>
        <v/>
      </c>
    </row>
    <row r="89">
      <c r="I89" s="19">
        <f>IFERROR(XLOOKUP(A89,'2. CDM to BDE Mapping'!$B:$B,'2. CDM to BDE Mapping'!$C:$C,""),"")</f>
        <v/>
      </c>
    </row>
    <row r="90">
      <c r="I90" s="19">
        <f>IFERROR(XLOOKUP(A90,'2. CDM to BDE Mapping'!$B:$B,'2. CDM to BDE Mapping'!$C:$C,""),"")</f>
        <v/>
      </c>
    </row>
    <row r="91">
      <c r="I91" s="19">
        <f>IFERROR(XLOOKUP(A91,'2. CDM to BDE Mapping'!$B:$B,'2. CDM to BDE Mapping'!$C:$C,""),"")</f>
        <v/>
      </c>
    </row>
    <row r="92">
      <c r="I92" s="19">
        <f>IFERROR(XLOOKUP(A92,'2. CDM to BDE Mapping'!$B:$B,'2. CDM to BDE Mapping'!$C:$C,""),"")</f>
        <v/>
      </c>
    </row>
    <row r="93">
      <c r="I93" s="19">
        <f>IFERROR(XLOOKUP(A93,'2. CDM to BDE Mapping'!$B:$B,'2. CDM to BDE Mapping'!$C:$C,""),"")</f>
        <v/>
      </c>
    </row>
    <row r="94">
      <c r="I94" s="19">
        <f>IFERROR(XLOOKUP(A94,'2. CDM to BDE Mapping'!$B:$B,'2. CDM to BDE Mapping'!$C:$C,""),"")</f>
        <v/>
      </c>
    </row>
    <row r="95">
      <c r="I95" s="19">
        <f>IFERROR(XLOOKUP(A95,'2. CDM to BDE Mapping'!$B:$B,'2. CDM to BDE Mapping'!$C:$C,""),"")</f>
        <v/>
      </c>
    </row>
    <row r="96">
      <c r="I96" s="19">
        <f>IFERROR(XLOOKUP(A96,'2. CDM to BDE Mapping'!$B:$B,'2. CDM to BDE Mapping'!$C:$C,""),"")</f>
        <v/>
      </c>
    </row>
    <row r="97">
      <c r="I97" s="19">
        <f>IFERROR(XLOOKUP(A97,'2. CDM to BDE Mapping'!$B:$B,'2. CDM to BDE Mapping'!$C:$C,""),"")</f>
        <v/>
      </c>
    </row>
    <row r="98">
      <c r="I98" s="19">
        <f>IFERROR(XLOOKUP(A98,'2. CDM to BDE Mapping'!$B:$B,'2. CDM to BDE Mapping'!$C:$C,""),"")</f>
        <v/>
      </c>
    </row>
    <row r="99">
      <c r="I99" s="19">
        <f>IFERROR(XLOOKUP(A99,'2. CDM to BDE Mapping'!$B:$B,'2. CDM to BDE Mapping'!$C:$C,""),"")</f>
        <v/>
      </c>
    </row>
    <row r="100">
      <c r="I100" s="19">
        <f>IFERROR(XLOOKUP(A100,'2. CDM to BDE Mapping'!$B:$B,'2. CDM to BDE Mapping'!$C:$C,""),"")</f>
        <v/>
      </c>
    </row>
    <row r="101">
      <c r="I101" s="19">
        <f>IFERROR(XLOOKUP(A101,'2. CDM to BDE Mapping'!$B:$B,'2. CDM to BDE Mapping'!$C:$C,""),"")</f>
        <v/>
      </c>
    </row>
    <row r="102">
      <c r="I102" s="19">
        <f>IFERROR(XLOOKUP(A102,'2. CDM to BDE Mapping'!$B:$B,'2. CDM to BDE Mapping'!$C:$C,""),"")</f>
        <v/>
      </c>
    </row>
    <row r="103">
      <c r="I103" s="19">
        <f>IFERROR(XLOOKUP(A103,'2. CDM to BDE Mapping'!$B:$B,'2. CDM to BDE Mapping'!$C:$C,""),"")</f>
        <v/>
      </c>
    </row>
    <row r="104">
      <c r="I104" s="19">
        <f>IFERROR(XLOOKUP(A104,'2. CDM to BDE Mapping'!$B:$B,'2. CDM to BDE Mapping'!$C:$C,""),"")</f>
        <v/>
      </c>
    </row>
    <row r="105">
      <c r="I105" s="19">
        <f>IFERROR(XLOOKUP(A105,'2. CDM to BDE Mapping'!$B:$B,'2. CDM to BDE Mapping'!$C:$C,""),"")</f>
        <v/>
      </c>
    </row>
    <row r="106">
      <c r="I106" s="19">
        <f>IFERROR(XLOOKUP(A106,'2. CDM to BDE Mapping'!$B:$B,'2. CDM to BDE Mapping'!$C:$C,""),"")</f>
        <v/>
      </c>
    </row>
    <row r="107">
      <c r="I107" s="19">
        <f>IFERROR(XLOOKUP(A107,'2. CDM to BDE Mapping'!$B:$B,'2. CDM to BDE Mapping'!$C:$C,""),"")</f>
        <v/>
      </c>
    </row>
    <row r="108">
      <c r="I108" s="19">
        <f>IFERROR(XLOOKUP(A108,'2. CDM to BDE Mapping'!$B:$B,'2. CDM to BDE Mapping'!$C:$C,""),"")</f>
        <v/>
      </c>
    </row>
    <row r="109">
      <c r="I109" s="19">
        <f>IFERROR(XLOOKUP(A109,'2. CDM to BDE Mapping'!$B:$B,'2. CDM to BDE Mapping'!$C:$C,""),"")</f>
        <v/>
      </c>
    </row>
    <row r="110">
      <c r="I110" s="19">
        <f>IFERROR(XLOOKUP(A110,'2. CDM to BDE Mapping'!$B:$B,'2. CDM to BDE Mapping'!$C:$C,""),"")</f>
        <v/>
      </c>
    </row>
    <row r="111">
      <c r="I111" s="19">
        <f>IFERROR(XLOOKUP(A111,'2. CDM to BDE Mapping'!$B:$B,'2. CDM to BDE Mapping'!$C:$C,""),"")</f>
        <v/>
      </c>
    </row>
    <row r="112">
      <c r="I112" s="19">
        <f>IFERROR(XLOOKUP(A112,'2. CDM to BDE Mapping'!$B:$B,'2. CDM to BDE Mapping'!$C:$C,""),"")</f>
        <v/>
      </c>
    </row>
    <row r="113">
      <c r="I113" s="19">
        <f>IFERROR(XLOOKUP(A113,'2. CDM to BDE Mapping'!$B:$B,'2. CDM to BDE Mapping'!$C:$C,""),"")</f>
        <v/>
      </c>
    </row>
    <row r="114">
      <c r="I114" s="19">
        <f>IFERROR(XLOOKUP(A114,'2. CDM to BDE Mapping'!$B:$B,'2. CDM to BDE Mapping'!$C:$C,""),"")</f>
        <v/>
      </c>
    </row>
    <row r="115">
      <c r="I115" s="19">
        <f>IFERROR(XLOOKUP(A115,'2. CDM to BDE Mapping'!$B:$B,'2. CDM to BDE Mapping'!$C:$C,""),"")</f>
        <v/>
      </c>
    </row>
    <row r="116">
      <c r="I116" s="19">
        <f>IFERROR(XLOOKUP(A116,'2. CDM to BDE Mapping'!$B:$B,'2. CDM to BDE Mapping'!$C:$C,""),"")</f>
        <v/>
      </c>
    </row>
    <row r="117">
      <c r="I117" s="19">
        <f>IFERROR(XLOOKUP(A117,'2. CDM to BDE Mapping'!$B:$B,'2. CDM to BDE Mapping'!$C:$C,""),"")</f>
        <v/>
      </c>
    </row>
    <row r="118">
      <c r="I118" s="19">
        <f>IFERROR(XLOOKUP(A118,'2. CDM to BDE Mapping'!$B:$B,'2. CDM to BDE Mapping'!$C:$C,""),"")</f>
        <v/>
      </c>
    </row>
    <row r="119">
      <c r="I119" s="19">
        <f>IFERROR(XLOOKUP(A119,'2. CDM to BDE Mapping'!$B:$B,'2. CDM to BDE Mapping'!$C:$C,""),"")</f>
        <v/>
      </c>
    </row>
    <row r="120">
      <c r="I120" s="19">
        <f>IFERROR(XLOOKUP(A120,'2. CDM to BDE Mapping'!$B:$B,'2. CDM to BDE Mapping'!$C:$C,""),"")</f>
        <v/>
      </c>
    </row>
    <row r="121">
      <c r="I121" s="19">
        <f>IFERROR(XLOOKUP(A121,'2. CDM to BDE Mapping'!$B:$B,'2. CDM to BDE Mapping'!$C:$C,""),"")</f>
        <v/>
      </c>
    </row>
    <row r="122">
      <c r="I122" s="19">
        <f>IFERROR(XLOOKUP(A122,'2. CDM to BDE Mapping'!$B:$B,'2. CDM to BDE Mapping'!$C:$C,""),"")</f>
        <v/>
      </c>
    </row>
    <row r="123">
      <c r="I123" s="19">
        <f>IFERROR(XLOOKUP(A123,'2. CDM to BDE Mapping'!$B:$B,'2. CDM to BDE Mapping'!$C:$C,""),"")</f>
        <v/>
      </c>
    </row>
    <row r="124">
      <c r="I124" s="19">
        <f>IFERROR(XLOOKUP(A124,'2. CDM to BDE Mapping'!$B:$B,'2. CDM to BDE Mapping'!$C:$C,""),"")</f>
        <v/>
      </c>
    </row>
    <row r="125">
      <c r="I125" s="19">
        <f>IFERROR(XLOOKUP(A125,'2. CDM to BDE Mapping'!$B:$B,'2. CDM to BDE Mapping'!$C:$C,""),"")</f>
        <v/>
      </c>
    </row>
    <row r="126">
      <c r="I126" s="19">
        <f>IFERROR(XLOOKUP(A126,'2. CDM to BDE Mapping'!$B:$B,'2. CDM to BDE Mapping'!$C:$C,""),"")</f>
        <v/>
      </c>
    </row>
    <row r="127">
      <c r="I127" s="19">
        <f>IFERROR(XLOOKUP(A127,'2. CDM to BDE Mapping'!$B:$B,'2. CDM to BDE Mapping'!$C:$C,""),"")</f>
        <v/>
      </c>
    </row>
    <row r="128">
      <c r="I128" s="19">
        <f>IFERROR(XLOOKUP(A128,'2. CDM to BDE Mapping'!$B:$B,'2. CDM to BDE Mapping'!$C:$C,""),"")</f>
        <v/>
      </c>
    </row>
    <row r="129">
      <c r="I129" s="19">
        <f>IFERROR(XLOOKUP(A129,'2. CDM to BDE Mapping'!$B:$B,'2. CDM to BDE Mapping'!$C:$C,""),"")</f>
        <v/>
      </c>
    </row>
    <row r="130">
      <c r="I130" s="19">
        <f>IFERROR(XLOOKUP(A130,'2. CDM to BDE Mapping'!$B:$B,'2. CDM to BDE Mapping'!$C:$C,""),"")</f>
        <v/>
      </c>
    </row>
    <row r="131">
      <c r="I131" s="19">
        <f>IFERROR(XLOOKUP(A131,'2. CDM to BDE Mapping'!$B:$B,'2. CDM to BDE Mapping'!$C:$C,""),"")</f>
        <v/>
      </c>
    </row>
    <row r="132">
      <c r="I132" s="19">
        <f>IFERROR(XLOOKUP(A132,'2. CDM to BDE Mapping'!$B:$B,'2. CDM to BDE Mapping'!$C:$C,""),"")</f>
        <v/>
      </c>
    </row>
    <row r="133">
      <c r="I133" s="19">
        <f>IFERROR(XLOOKUP(A133,'2. CDM to BDE Mapping'!$B:$B,'2. CDM to BDE Mapping'!$C:$C,""),"")</f>
        <v/>
      </c>
    </row>
    <row r="134">
      <c r="I134" s="19">
        <f>IFERROR(XLOOKUP(A134,'2. CDM to BDE Mapping'!$B:$B,'2. CDM to BDE Mapping'!$C:$C,""),"")</f>
        <v/>
      </c>
    </row>
    <row r="135">
      <c r="I135" s="19">
        <f>IFERROR(XLOOKUP(A135,'2. CDM to BDE Mapping'!$B:$B,'2. CDM to BDE Mapping'!$C:$C,""),"")</f>
        <v/>
      </c>
    </row>
    <row r="136">
      <c r="I136" s="19">
        <f>IFERROR(XLOOKUP(A136,'2. CDM to BDE Mapping'!$B:$B,'2. CDM to BDE Mapping'!$C:$C,""),"")</f>
        <v/>
      </c>
    </row>
    <row r="137">
      <c r="I137" s="19">
        <f>IFERROR(XLOOKUP(A137,'2. CDM to BDE Mapping'!$B:$B,'2. CDM to BDE Mapping'!$C:$C,""),"")</f>
        <v/>
      </c>
    </row>
    <row r="138">
      <c r="I138" s="19">
        <f>IFERROR(XLOOKUP(A138,'2. CDM to BDE Mapping'!$B:$B,'2. CDM to BDE Mapping'!$C:$C,""),"")</f>
        <v/>
      </c>
    </row>
    <row r="139">
      <c r="I139" s="19">
        <f>IFERROR(XLOOKUP(A139,'2. CDM to BDE Mapping'!$B:$B,'2. CDM to BDE Mapping'!$C:$C,""),"")</f>
        <v/>
      </c>
    </row>
    <row r="140">
      <c r="I140" s="19">
        <f>IFERROR(XLOOKUP(A140,'2. CDM to BDE Mapping'!$B:$B,'2. CDM to BDE Mapping'!$C:$C,""),"")</f>
        <v/>
      </c>
    </row>
    <row r="141">
      <c r="I141" s="19">
        <f>IFERROR(XLOOKUP(A141,'2. CDM to BDE Mapping'!$B:$B,'2. CDM to BDE Mapping'!$C:$C,""),"")</f>
        <v/>
      </c>
    </row>
    <row r="142">
      <c r="I142" s="19">
        <f>IFERROR(XLOOKUP(A142,'2. CDM to BDE Mapping'!$B:$B,'2. CDM to BDE Mapping'!$C:$C,""),"")</f>
        <v/>
      </c>
    </row>
    <row r="143">
      <c r="I143" s="19">
        <f>IFERROR(XLOOKUP(A143,'2. CDM to BDE Mapping'!$B:$B,'2. CDM to BDE Mapping'!$C:$C,""),"")</f>
        <v/>
      </c>
    </row>
    <row r="144">
      <c r="I144" s="19">
        <f>IFERROR(XLOOKUP(A144,'2. CDM to BDE Mapping'!$B:$B,'2. CDM to BDE Mapping'!$C:$C,""),"")</f>
        <v/>
      </c>
    </row>
    <row r="145">
      <c r="I145" s="19">
        <f>IFERROR(XLOOKUP(A145,'2. CDM to BDE Mapping'!$B:$B,'2. CDM to BDE Mapping'!$C:$C,""),"")</f>
        <v/>
      </c>
    </row>
    <row r="146">
      <c r="I146" s="19">
        <f>IFERROR(XLOOKUP(A146,'2. CDM to BDE Mapping'!$B:$B,'2. CDM to BDE Mapping'!$C:$C,""),"")</f>
        <v/>
      </c>
    </row>
    <row r="147">
      <c r="I147" s="19">
        <f>IFERROR(XLOOKUP(A147,'2. CDM to BDE Mapping'!$B:$B,'2. CDM to BDE Mapping'!$C:$C,""),"")</f>
        <v/>
      </c>
    </row>
    <row r="148">
      <c r="I148" s="19">
        <f>IFERROR(XLOOKUP(A148,'2. CDM to BDE Mapping'!$B:$B,'2. CDM to BDE Mapping'!$C:$C,""),"")</f>
        <v/>
      </c>
    </row>
    <row r="149">
      <c r="I149" s="19">
        <f>IFERROR(XLOOKUP(A149,'2. CDM to BDE Mapping'!$B:$B,'2. CDM to BDE Mapping'!$C:$C,""),"")</f>
        <v/>
      </c>
    </row>
    <row r="150">
      <c r="I150" s="19">
        <f>IFERROR(XLOOKUP(A150,'2. CDM to BDE Mapping'!$B:$B,'2. CDM to BDE Mapping'!$C:$C,""),"")</f>
        <v/>
      </c>
    </row>
    <row r="151">
      <c r="I151" s="19">
        <f>IFERROR(XLOOKUP(A151,'2. CDM to BDE Mapping'!$B:$B,'2. CDM to BDE Mapping'!$C:$C,""),"")</f>
        <v/>
      </c>
    </row>
    <row r="152">
      <c r="I152" s="19">
        <f>IFERROR(XLOOKUP(A152,'2. CDM to BDE Mapping'!$B:$B,'2. CDM to BDE Mapping'!$C:$C,""),"")</f>
        <v/>
      </c>
    </row>
    <row r="153">
      <c r="I153" s="19">
        <f>IFERROR(XLOOKUP(A153,'2. CDM to BDE Mapping'!$B:$B,'2. CDM to BDE Mapping'!$C:$C,""),"")</f>
        <v/>
      </c>
    </row>
    <row r="154">
      <c r="I154" s="19">
        <f>IFERROR(XLOOKUP(A154,'2. CDM to BDE Mapping'!$B:$B,'2. CDM to BDE Mapping'!$C:$C,""),"")</f>
        <v/>
      </c>
    </row>
    <row r="155">
      <c r="I155" s="19">
        <f>IFERROR(XLOOKUP(A155,'2. CDM to BDE Mapping'!$B:$B,'2. CDM to BDE Mapping'!$C:$C,""),"")</f>
        <v/>
      </c>
    </row>
    <row r="156">
      <c r="I156" s="19">
        <f>IFERROR(XLOOKUP(A156,'2. CDM to BDE Mapping'!$B:$B,'2. CDM to BDE Mapping'!$C:$C,""),"")</f>
        <v/>
      </c>
    </row>
    <row r="157">
      <c r="I157" s="19">
        <f>IFERROR(XLOOKUP(A157,'2. CDM to BDE Mapping'!$B:$B,'2. CDM to BDE Mapping'!$C:$C,""),"")</f>
        <v/>
      </c>
    </row>
    <row r="158">
      <c r="I158" s="19">
        <f>IFERROR(XLOOKUP(A158,'2. CDM to BDE Mapping'!$B:$B,'2. CDM to BDE Mapping'!$C:$C,""),"")</f>
        <v/>
      </c>
    </row>
    <row r="159">
      <c r="I159" s="19">
        <f>IFERROR(XLOOKUP(A159,'2. CDM to BDE Mapping'!$B:$B,'2. CDM to BDE Mapping'!$C:$C,""),"")</f>
        <v/>
      </c>
    </row>
    <row r="160">
      <c r="I160" s="19">
        <f>IFERROR(XLOOKUP(A160,'2. CDM to BDE Mapping'!$B:$B,'2. CDM to BDE Mapping'!$C:$C,""),"")</f>
        <v/>
      </c>
    </row>
    <row r="161">
      <c r="I161" s="19">
        <f>IFERROR(XLOOKUP(A161,'2. CDM to BDE Mapping'!$B:$B,'2. CDM to BDE Mapping'!$C:$C,""),"")</f>
        <v/>
      </c>
    </row>
    <row r="162">
      <c r="I162" s="19">
        <f>IFERROR(XLOOKUP(A162,'2. CDM to BDE Mapping'!$B:$B,'2. CDM to BDE Mapping'!$C:$C,""),"")</f>
        <v/>
      </c>
    </row>
    <row r="163">
      <c r="I163" s="19">
        <f>IFERROR(XLOOKUP(A163,'2. CDM to BDE Mapping'!$B:$B,'2. CDM to BDE Mapping'!$C:$C,""),"")</f>
        <v/>
      </c>
    </row>
    <row r="164">
      <c r="I164" s="19">
        <f>IFERROR(XLOOKUP(A164,'2. CDM to BDE Mapping'!$B:$B,'2. CDM to BDE Mapping'!$C:$C,""),"")</f>
        <v/>
      </c>
    </row>
    <row r="165">
      <c r="I165" s="19">
        <f>IFERROR(XLOOKUP(A165,'2. CDM to BDE Mapping'!$B:$B,'2. CDM to BDE Mapping'!$C:$C,""),"")</f>
        <v/>
      </c>
    </row>
    <row r="166">
      <c r="I166" s="19">
        <f>IFERROR(XLOOKUP(A166,'2. CDM to BDE Mapping'!$B:$B,'2. CDM to BDE Mapping'!$C:$C,""),"")</f>
        <v/>
      </c>
    </row>
    <row r="167">
      <c r="I167" s="19">
        <f>IFERROR(XLOOKUP(A167,'2. CDM to BDE Mapping'!$B:$B,'2. CDM to BDE Mapping'!$C:$C,""),"")</f>
        <v/>
      </c>
    </row>
    <row r="168">
      <c r="I168" s="19">
        <f>IFERROR(XLOOKUP(A168,'2. CDM to BDE Mapping'!$B:$B,'2. CDM to BDE Mapping'!$C:$C,""),"")</f>
        <v/>
      </c>
    </row>
    <row r="169">
      <c r="I169" s="19">
        <f>IFERROR(XLOOKUP(A169,'2. CDM to BDE Mapping'!$B:$B,'2. CDM to BDE Mapping'!$C:$C,""),"")</f>
        <v/>
      </c>
    </row>
    <row r="170">
      <c r="I170" s="19">
        <f>IFERROR(XLOOKUP(A170,'2. CDM to BDE Mapping'!$B:$B,'2. CDM to BDE Mapping'!$C:$C,""),"")</f>
        <v/>
      </c>
    </row>
    <row r="171">
      <c r="I171" s="19">
        <f>IFERROR(XLOOKUP(A171,'2. CDM to BDE Mapping'!$B:$B,'2. CDM to BDE Mapping'!$C:$C,""),"")</f>
        <v/>
      </c>
    </row>
    <row r="172">
      <c r="I172" s="19">
        <f>IFERROR(XLOOKUP(A172,'2. CDM to BDE Mapping'!$B:$B,'2. CDM to BDE Mapping'!$C:$C,""),"")</f>
        <v/>
      </c>
    </row>
    <row r="173">
      <c r="I173" s="19">
        <f>IFERROR(XLOOKUP(A173,'2. CDM to BDE Mapping'!$B:$B,'2. CDM to BDE Mapping'!$C:$C,""),"")</f>
        <v/>
      </c>
    </row>
    <row r="174">
      <c r="I174" s="19">
        <f>IFERROR(XLOOKUP(A174,'2. CDM to BDE Mapping'!$B:$B,'2. CDM to BDE Mapping'!$C:$C,""),"")</f>
        <v/>
      </c>
    </row>
    <row r="175">
      <c r="I175" s="19">
        <f>IFERROR(XLOOKUP(A175,'2. CDM to BDE Mapping'!$B:$B,'2. CDM to BDE Mapping'!$C:$C,""),"")</f>
        <v/>
      </c>
    </row>
    <row r="176">
      <c r="I176" s="19">
        <f>IFERROR(XLOOKUP(A176,'2. CDM to BDE Mapping'!$B:$B,'2. CDM to BDE Mapping'!$C:$C,""),"")</f>
        <v/>
      </c>
    </row>
    <row r="177">
      <c r="I177" s="19">
        <f>IFERROR(XLOOKUP(A177,'2. CDM to BDE Mapping'!$B:$B,'2. CDM to BDE Mapping'!$C:$C,""),"")</f>
        <v/>
      </c>
    </row>
    <row r="178">
      <c r="I178" s="19">
        <f>IFERROR(XLOOKUP(A178,'2. CDM to BDE Mapping'!$B:$B,'2. CDM to BDE Mapping'!$C:$C,""),"")</f>
        <v/>
      </c>
    </row>
    <row r="179">
      <c r="I179" s="19">
        <f>IFERROR(XLOOKUP(A179,'2. CDM to BDE Mapping'!$B:$B,'2. CDM to BDE Mapping'!$C:$C,""),"")</f>
        <v/>
      </c>
    </row>
    <row r="180">
      <c r="I180" s="19">
        <f>IFERROR(XLOOKUP(A180,'2. CDM to BDE Mapping'!$B:$B,'2. CDM to BDE Mapping'!$C:$C,""),"")</f>
        <v/>
      </c>
    </row>
    <row r="181">
      <c r="I181" s="19">
        <f>IFERROR(XLOOKUP(A181,'2. CDM to BDE Mapping'!$B:$B,'2. CDM to BDE Mapping'!$C:$C,""),"")</f>
        <v/>
      </c>
    </row>
    <row r="182">
      <c r="I182" s="19">
        <f>IFERROR(XLOOKUP(A182,'2. CDM to BDE Mapping'!$B:$B,'2. CDM to BDE Mapping'!$C:$C,""),"")</f>
        <v/>
      </c>
    </row>
    <row r="183">
      <c r="I183" s="19">
        <f>IFERROR(XLOOKUP(A183,'2. CDM to BDE Mapping'!$B:$B,'2. CDM to BDE Mapping'!$C:$C,""),"")</f>
        <v/>
      </c>
    </row>
    <row r="184">
      <c r="I184" s="19">
        <f>IFERROR(XLOOKUP(A184,'2. CDM to BDE Mapping'!$B:$B,'2. CDM to BDE Mapping'!$C:$C,""),"")</f>
        <v/>
      </c>
    </row>
    <row r="185">
      <c r="I185" s="19">
        <f>IFERROR(XLOOKUP(A185,'2. CDM to BDE Mapping'!$B:$B,'2. CDM to BDE Mapping'!$C:$C,""),"")</f>
        <v/>
      </c>
    </row>
    <row r="186">
      <c r="I186" s="19">
        <f>IFERROR(XLOOKUP(A186,'2. CDM to BDE Mapping'!$B:$B,'2. CDM to BDE Mapping'!$C:$C,""),"")</f>
        <v/>
      </c>
    </row>
    <row r="187">
      <c r="I187" s="19">
        <f>IFERROR(XLOOKUP(A187,'2. CDM to BDE Mapping'!$B:$B,'2. CDM to BDE Mapping'!$C:$C,""),"")</f>
        <v/>
      </c>
    </row>
    <row r="188">
      <c r="I188" s="19">
        <f>IFERROR(XLOOKUP(A188,'2. CDM to BDE Mapping'!$B:$B,'2. CDM to BDE Mapping'!$C:$C,""),"")</f>
        <v/>
      </c>
    </row>
    <row r="189">
      <c r="I189" s="19">
        <f>IFERROR(XLOOKUP(A189,'2. CDM to BDE Mapping'!$B:$B,'2. CDM to BDE Mapping'!$C:$C,""),"")</f>
        <v/>
      </c>
    </row>
    <row r="190">
      <c r="I190" s="19">
        <f>IFERROR(XLOOKUP(A190,'2. CDM to BDE Mapping'!$B:$B,'2. CDM to BDE Mapping'!$C:$C,""),"")</f>
        <v/>
      </c>
    </row>
    <row r="191">
      <c r="I191" s="19">
        <f>IFERROR(XLOOKUP(A191,'2. CDM to BDE Mapping'!$B:$B,'2. CDM to BDE Mapping'!$C:$C,""),"")</f>
        <v/>
      </c>
    </row>
    <row r="192">
      <c r="I192" s="19">
        <f>IFERROR(XLOOKUP(A192,'2. CDM to BDE Mapping'!$B:$B,'2. CDM to BDE Mapping'!$C:$C,""),"")</f>
        <v/>
      </c>
    </row>
    <row r="193">
      <c r="I193" s="19">
        <f>IFERROR(XLOOKUP(A193,'2. CDM to BDE Mapping'!$B:$B,'2. CDM to BDE Mapping'!$C:$C,""),"")</f>
        <v/>
      </c>
    </row>
    <row r="194">
      <c r="I194" s="19">
        <f>IFERROR(XLOOKUP(A194,'2. CDM to BDE Mapping'!$B:$B,'2. CDM to BDE Mapping'!$C:$C,""),"")</f>
        <v/>
      </c>
    </row>
    <row r="195">
      <c r="I195" s="19">
        <f>IFERROR(XLOOKUP(A195,'2. CDM to BDE Mapping'!$B:$B,'2. CDM to BDE Mapping'!$C:$C,""),"")</f>
        <v/>
      </c>
    </row>
    <row r="196">
      <c r="I196" s="19">
        <f>IFERROR(XLOOKUP(A196,'2. CDM to BDE Mapping'!$B:$B,'2. CDM to BDE Mapping'!$C:$C,""),"")</f>
        <v/>
      </c>
    </row>
    <row r="197">
      <c r="I197" s="19">
        <f>IFERROR(XLOOKUP(A197,'2. CDM to BDE Mapping'!$B:$B,'2. CDM to BDE Mapping'!$C:$C,""),"")</f>
        <v/>
      </c>
    </row>
    <row r="198">
      <c r="I198" s="19">
        <f>IFERROR(XLOOKUP(A198,'2. CDM to BDE Mapping'!$B:$B,'2. CDM to BDE Mapping'!$C:$C,""),"")</f>
        <v/>
      </c>
    </row>
    <row r="199">
      <c r="I199" s="19">
        <f>IFERROR(XLOOKUP(A199,'2. CDM to BDE Mapping'!$B:$B,'2. CDM to BDE Mapping'!$C:$C,""),"")</f>
        <v/>
      </c>
    </row>
    <row r="200">
      <c r="I200" s="19">
        <f>IFERROR(XLOOKUP(A200,'2. CDM to BDE Mapping'!$B:$B,'2. CDM to BDE Mapping'!$C:$C,""),"")</f>
        <v/>
      </c>
    </row>
  </sheetData>
  <autoFilter ref="A2:I2"/>
  <mergeCells count="1">
    <mergeCell ref="A1:I1"/>
  </mergeCells>
  <dataValidations count="3">
    <dataValidation sqref="F3:F1000" showDropDown="0" showInputMessage="0" showErrorMessage="1" allowBlank="1" errorTitle="Invalid Entry" error="Please select a valid option." type="list">
      <formula1>"Direct,Derived,Transformed,Conditional"</formula1>
    </dataValidation>
    <dataValidation sqref="G3:G1000" showDropDown="0" showInputMessage="0" showErrorMessage="1" allowBlank="1" errorTitle="Invalid Entry" error="Please select a valid option." type="list">
      <formula1>"Active,Pending,Deprecated"</formula1>
    </dataValidation>
    <dataValidation sqref="A3:A1000" showDropDown="0" showInputMessage="0" showErrorMessage="1" allowBlank="1" errorTitle="Invalid Entry" error="Value must match an existing entry in the source tab." type="list">
      <formula1>BDE_Names</formula1>
    </dataValidation>
  </dataValidation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I200"/>
  <sheetViews>
    <sheetView showGridLines="0" workbookViewId="0">
      <pane ySplit="2" topLeftCell="A3" activePane="bottomLeft" state="frozen"/>
      <selection pane="bottomLeft" activeCell="A1" sqref="A1"/>
    </sheetView>
  </sheetViews>
  <sheetFormatPr baseColWidth="8" defaultRowHeight="15"/>
  <cols>
    <col width="38" customWidth="1" min="1" max="1"/>
    <col width="26" customWidth="1" min="2" max="2"/>
    <col width="48" customWidth="1" min="3" max="3"/>
    <col width="30" customWidth="1" min="4" max="4"/>
    <col width="12" customWidth="1" min="5" max="5"/>
    <col width="26" customWidth="1" min="6" max="6"/>
    <col width="28" customWidth="1" min="7" max="7"/>
    <col width="38" customWidth="1" min="8" max="8"/>
    <col width="44" customWidth="1" min="9" max="9"/>
  </cols>
  <sheetData>
    <row r="1" ht="30" customHeight="1">
      <c r="A1" s="20" t="inlineStr">
        <is>
          <t>BDE to Business Requirements Mapping  |  Tab 4</t>
        </is>
      </c>
    </row>
    <row r="2" ht="34" customHeight="1">
      <c r="A2" s="21" t="inlineStr">
        <is>
          <t>Business Requirement</t>
        </is>
      </c>
      <c r="B2" s="21" t="inlineStr">
        <is>
          <t>Consumer / Stakeholder</t>
        </is>
      </c>
      <c r="C2" s="21" t="inlineStr">
        <is>
          <t>Business Outcome</t>
        </is>
      </c>
      <c r="D2" s="21" t="inlineStr">
        <is>
          <t>BDE Name</t>
        </is>
      </c>
      <c r="E2" s="21" t="inlineStr">
        <is>
          <t>Priority</t>
        </is>
      </c>
      <c r="F2" s="21" t="inlineStr">
        <is>
          <t>Status</t>
        </is>
      </c>
      <c r="G2" s="21" t="inlineStr">
        <is>
          <t>Gap Type</t>
        </is>
      </c>
      <c r="H2" s="21" t="inlineStr">
        <is>
          <t>Notes</t>
        </is>
      </c>
      <c r="I2" s="25" t="inlineStr">
        <is>
          <t>CDM Path (auto)</t>
        </is>
      </c>
    </row>
    <row r="3" ht="48" customHeight="1">
      <c r="A3" s="22" t="inlineStr">
        <is>
          <t>KYC Identity Verification</t>
        </is>
      </c>
      <c r="B3" s="22" t="inlineStr">
        <is>
          <t>Compliance</t>
        </is>
      </c>
      <c r="C3" s="22" t="inlineStr">
        <is>
          <t>Satisfy regulatory KYC obligation by confirming customer identity at onboarding.</t>
        </is>
      </c>
      <c r="D3" s="22" t="inlineStr">
        <is>
          <t>Customer Full Name</t>
        </is>
      </c>
      <c r="E3" s="22" t="inlineStr">
        <is>
          <t>High</t>
        </is>
      </c>
      <c r="F3" s="22" t="inlineStr">
        <is>
          <t>Active</t>
        </is>
      </c>
      <c r="G3" s="22" t="inlineStr">
        <is>
          <t>None</t>
        </is>
      </c>
      <c r="H3" s="22" t="inlineStr">
        <is>
          <t>Drives AML and onboarding screening.</t>
        </is>
      </c>
      <c r="I3" s="19">
        <f>IFERROR(XLOOKUP(D3,'2. CDM to BDE Mapping'!$B:$B,'2. CDM to BDE Mapping'!$A:$A,""),"")</f>
        <v/>
      </c>
    </row>
    <row r="4" ht="48" customHeight="1">
      <c r="A4" s="23" t="inlineStr">
        <is>
          <t>KYC Identity Verification</t>
        </is>
      </c>
      <c r="B4" s="23" t="inlineStr">
        <is>
          <t>Compliance</t>
        </is>
      </c>
      <c r="C4" s="23" t="inlineStr">
        <is>
          <t>Satisfy regulatory KYC obligation by confirming customer identity at onboarding.</t>
        </is>
      </c>
      <c r="D4" s="23" t="inlineStr">
        <is>
          <t>Customer Date of Birth</t>
        </is>
      </c>
      <c r="E4" s="23" t="inlineStr">
        <is>
          <t>High</t>
        </is>
      </c>
      <c r="F4" s="23" t="inlineStr">
        <is>
          <t>Active</t>
        </is>
      </c>
      <c r="G4" s="23" t="inlineStr">
        <is>
          <t>None</t>
        </is>
      </c>
      <c r="H4" s="23" t="inlineStr">
        <is>
          <t>Required for age-based and sanctions checks.</t>
        </is>
      </c>
      <c r="I4" s="19">
        <f>IFERROR(XLOOKUP(D4,'2. CDM to BDE Mapping'!$B:$B,'2. CDM to BDE Mapping'!$A:$A,""),"")</f>
        <v/>
      </c>
    </row>
    <row r="5" ht="48" customHeight="1">
      <c r="A5" s="22" t="inlineStr">
        <is>
          <t>Customer Communication Segmentation</t>
        </is>
      </c>
      <c r="B5" s="22" t="inlineStr">
        <is>
          <t>Marketing</t>
        </is>
      </c>
      <c r="C5" s="22" t="inlineStr">
        <is>
          <t>Identify customers with a verified email address for digital campaign targeting.</t>
        </is>
      </c>
      <c r="D5" s="22" t="inlineStr">
        <is>
          <t>Customer Email Address</t>
        </is>
      </c>
      <c r="E5" s="22" t="inlineStr">
        <is>
          <t>Medium</t>
        </is>
      </c>
      <c r="F5" s="22" t="inlineStr">
        <is>
          <t>Active</t>
        </is>
      </c>
      <c r="G5" s="22" t="inlineStr">
        <is>
          <t>None</t>
        </is>
      </c>
      <c r="H5" s="22" t="inlineStr">
        <is>
          <t>Linked to consent management records.</t>
        </is>
      </c>
      <c r="I5" s="19">
        <f>IFERROR(XLOOKUP(D5,'2. CDM to BDE Mapping'!$B:$B,'2. CDM to BDE Mapping'!$A:$A,""),"")</f>
        <v/>
      </c>
    </row>
    <row r="6" ht="48" customHeight="1">
      <c r="A6" s="23" t="inlineStr">
        <is>
          <t>360 Account Balance Dashboard</t>
        </is>
      </c>
      <c r="B6" s="23" t="inlineStr">
        <is>
          <t>Wealth Advisory</t>
        </is>
      </c>
      <c r="C6" s="23" t="inlineStr">
        <is>
          <t>Display current balance across all account types in a single adviser view.</t>
        </is>
      </c>
      <c r="D6" s="23" t="inlineStr">
        <is>
          <t>Account Current Balance</t>
        </is>
      </c>
      <c r="E6" s="23" t="inlineStr">
        <is>
          <t>High</t>
        </is>
      </c>
      <c r="F6" s="23" t="inlineStr">
        <is>
          <t>Active</t>
        </is>
      </c>
      <c r="G6" s="23" t="inlineStr">
        <is>
          <t>None</t>
        </is>
      </c>
      <c r="H6" s="23" t="inlineStr">
        <is>
          <t>Requires Deposit and Investment SOR coverage.</t>
        </is>
      </c>
      <c r="I6" s="19">
        <f>IFERROR(XLOOKUP(D6,'2. CDM to BDE Mapping'!$B:$B,'2. CDM to BDE Mapping'!$A:$A,""),"")</f>
        <v/>
      </c>
    </row>
    <row r="7" ht="48" customHeight="1">
      <c r="A7" s="22" t="inlineStr">
        <is>
          <t>360 Account Balance Dashboard</t>
        </is>
      </c>
      <c r="B7" s="22" t="inlineStr">
        <is>
          <t>Wealth Advisory</t>
        </is>
      </c>
      <c r="C7" s="22" t="inlineStr">
        <is>
          <t>Display current balance across all account types in a single adviser view.</t>
        </is>
      </c>
      <c r="D7" s="22" t="inlineStr">
        <is>
          <t>Account Currency Code</t>
        </is>
      </c>
      <c r="E7" s="22" t="inlineStr">
        <is>
          <t>High</t>
        </is>
      </c>
      <c r="F7" s="22" t="inlineStr">
        <is>
          <t>Active</t>
        </is>
      </c>
      <c r="G7" s="22" t="inlineStr">
        <is>
          <t>None</t>
        </is>
      </c>
      <c r="H7" s="22" t="inlineStr"/>
      <c r="I7" s="19">
        <f>IFERROR(XLOOKUP(D7,'2. CDM to BDE Mapping'!$B:$B,'2. CDM to BDE Mapping'!$A:$A,""),"")</f>
        <v/>
      </c>
    </row>
    <row r="8" ht="48" customHeight="1">
      <c r="A8" s="23" t="inlineStr">
        <is>
          <t>AML Transaction Monitoring</t>
        </is>
      </c>
      <c r="B8" s="23" t="inlineStr">
        <is>
          <t>Compliance</t>
        </is>
      </c>
      <c r="C8" s="23" t="inlineStr">
        <is>
          <t>Flag high-value or unusual transactions for AML review within the required reporting window.</t>
        </is>
      </c>
      <c r="D8" s="23" t="inlineStr">
        <is>
          <t>Transaction Amount</t>
        </is>
      </c>
      <c r="E8" s="23" t="inlineStr">
        <is>
          <t>High</t>
        </is>
      </c>
      <c r="F8" s="23" t="inlineStr">
        <is>
          <t>Active</t>
        </is>
      </c>
      <c r="G8" s="23" t="inlineStr">
        <is>
          <t>None</t>
        </is>
      </c>
      <c r="H8" s="23" t="inlineStr">
        <is>
          <t>Thresholds defined in compliance policy.</t>
        </is>
      </c>
      <c r="I8" s="19">
        <f>IFERROR(XLOOKUP(D8,'2. CDM to BDE Mapping'!$B:$B,'2. CDM to BDE Mapping'!$A:$A,""),"")</f>
        <v/>
      </c>
    </row>
    <row r="9" ht="48" customHeight="1">
      <c r="A9" s="22" t="inlineStr">
        <is>
          <t>AML Transaction Monitoring</t>
        </is>
      </c>
      <c r="B9" s="22" t="inlineStr">
        <is>
          <t>Compliance</t>
        </is>
      </c>
      <c r="C9" s="22" t="inlineStr">
        <is>
          <t>Flag high-value or unusual transactions for AML review within the required reporting window.</t>
        </is>
      </c>
      <c r="D9" s="22" t="inlineStr">
        <is>
          <t>Transaction Effective Date</t>
        </is>
      </c>
      <c r="E9" s="22" t="inlineStr">
        <is>
          <t>High</t>
        </is>
      </c>
      <c r="F9" s="22" t="inlineStr">
        <is>
          <t>Active</t>
        </is>
      </c>
      <c r="G9" s="22" t="inlineStr">
        <is>
          <t>None</t>
        </is>
      </c>
      <c r="H9" s="22" t="inlineStr"/>
      <c r="I9" s="19">
        <f>IFERROR(XLOOKUP(D9,'2. CDM to BDE Mapping'!$B:$B,'2. CDM to BDE Mapping'!$A:$A,""),"")</f>
        <v/>
      </c>
    </row>
    <row r="10" ht="48" customHeight="1">
      <c r="A10" s="23" t="inlineStr">
        <is>
          <t>Product Performance Reporting</t>
        </is>
      </c>
      <c r="B10" s="23" t="inlineStr">
        <is>
          <t>Product Analytics</t>
        </is>
      </c>
      <c r="C10" s="23" t="inlineStr">
        <is>
          <t>Calculate revenue and volume metrics per product type across all active SORs.</t>
        </is>
      </c>
      <c r="D10" s="23" t="inlineStr">
        <is>
          <t>Product Type Code</t>
        </is>
      </c>
      <c r="E10" s="23" t="inlineStr">
        <is>
          <t>High</t>
        </is>
      </c>
      <c r="F10" s="23" t="inlineStr">
        <is>
          <t>Active</t>
        </is>
      </c>
      <c r="G10" s="23" t="inlineStr">
        <is>
          <t>None</t>
        </is>
      </c>
      <c r="H10" s="23" t="inlineStr">
        <is>
          <t>Requires consistent product taxonomy across all SORs.</t>
        </is>
      </c>
      <c r="I10" s="19">
        <f>IFERROR(XLOOKUP(D10,'2. CDM to BDE Mapping'!$B:$B,'2. CDM to BDE Mapping'!$A:$A,""),"")</f>
        <v/>
      </c>
    </row>
    <row r="11" ht="48" customHeight="1">
      <c r="A11" s="22" t="inlineStr">
        <is>
          <t>Mortgage Origination Risk Scoring</t>
        </is>
      </c>
      <c r="B11" s="22" t="inlineStr">
        <is>
          <t>Credit Risk</t>
        </is>
      </c>
      <c r="C11" s="22" t="inlineStr">
        <is>
          <t>Score applicants for mortgage origination using verified income and employment history.</t>
        </is>
      </c>
      <c r="D11" s="22" t="inlineStr">
        <is>
          <t>Customer Annual Income Amount</t>
        </is>
      </c>
      <c r="E11" s="22" t="inlineStr">
        <is>
          <t>High</t>
        </is>
      </c>
      <c r="F11" s="22" t="inlineStr">
        <is>
          <t>Active</t>
        </is>
      </c>
      <c r="G11" s="22" t="inlineStr">
        <is>
          <t>None</t>
        </is>
      </c>
      <c r="H11" s="22" t="inlineStr">
        <is>
          <t>Income attribute added in v1.1 following approved change request.</t>
        </is>
      </c>
      <c r="I11" s="19">
        <f>IFERROR(XLOOKUP(D11,'2. CDM to BDE Mapping'!$B:$B,'2. CDM to BDE Mapping'!$A:$A,""),"")</f>
        <v/>
      </c>
    </row>
    <row r="12" ht="48" customHeight="1">
      <c r="A12" s="26" t="inlineStr">
        <is>
          <t>Trust Account Regulatory Reporting</t>
        </is>
      </c>
      <c r="B12" s="26" t="inlineStr">
        <is>
          <t>Legal</t>
        </is>
      </c>
      <c r="C12" s="26" t="inlineStr">
        <is>
          <t>Produce required regulatory reports for accounts held in trust on behalf of legal entities.</t>
        </is>
      </c>
      <c r="D12" s="26" t="inlineStr">
        <is>
          <t>Account Status</t>
        </is>
      </c>
      <c r="E12" s="26" t="inlineStr">
        <is>
          <t>Medium</t>
        </is>
      </c>
      <c r="F12" s="26" t="inlineStr">
        <is>
          <t>Blocked - Source Gap</t>
        </is>
      </c>
      <c r="G12" s="26" t="inlineStr">
        <is>
          <t>Source Onboarding Needed</t>
        </is>
      </c>
      <c r="H12" s="26" t="inlineStr">
        <is>
          <t>Trust administration system not yet onboarded. Change request open on Tab 5.</t>
        </is>
      </c>
      <c r="I12" s="19">
        <f>IFERROR(XLOOKUP(D12,'2. CDM to BDE Mapping'!$B:$B,'2. CDM to BDE Mapping'!$A:$A,""),"")</f>
        <v/>
      </c>
    </row>
    <row r="13" ht="48" customHeight="1">
      <c r="A13" s="22" t="inlineStr">
        <is>
          <t>Retirement Account Eligibility Check</t>
        </is>
      </c>
      <c r="B13" s="22" t="inlineStr">
        <is>
          <t>Operations</t>
        </is>
      </c>
      <c r="C13" s="22" t="inlineStr">
        <is>
          <t>Determine whether a customer meets age-based eligibility rules for retirement account products.</t>
        </is>
      </c>
      <c r="D13" s="22" t="inlineStr">
        <is>
          <t>Customer Date of Birth</t>
        </is>
      </c>
      <c r="E13" s="22" t="inlineStr">
        <is>
          <t>Medium</t>
        </is>
      </c>
      <c r="F13" s="22" t="inlineStr">
        <is>
          <t>Active</t>
        </is>
      </c>
      <c r="G13" s="22" t="inlineStr">
        <is>
          <t>None</t>
        </is>
      </c>
      <c r="H13" s="22" t="inlineStr"/>
      <c r="I13" s="19">
        <f>IFERROR(XLOOKUP(D13,'2. CDM to BDE Mapping'!$B:$B,'2. CDM to BDE Mapping'!$A:$A,""),"")</f>
        <v/>
      </c>
    </row>
    <row r="14">
      <c r="I14" s="19">
        <f>IFERROR(XLOOKUP(D14,'2. CDM to BDE Mapping'!$B:$B,'2. CDM to BDE Mapping'!$A:$A,""),"")</f>
        <v/>
      </c>
    </row>
    <row r="15">
      <c r="I15" s="19">
        <f>IFERROR(XLOOKUP(D15,'2. CDM to BDE Mapping'!$B:$B,'2. CDM to BDE Mapping'!$A:$A,""),"")</f>
        <v/>
      </c>
    </row>
    <row r="16">
      <c r="I16" s="19">
        <f>IFERROR(XLOOKUP(D16,'2. CDM to BDE Mapping'!$B:$B,'2. CDM to BDE Mapping'!$A:$A,""),"")</f>
        <v/>
      </c>
    </row>
    <row r="17">
      <c r="I17" s="19">
        <f>IFERROR(XLOOKUP(D17,'2. CDM to BDE Mapping'!$B:$B,'2. CDM to BDE Mapping'!$A:$A,""),"")</f>
        <v/>
      </c>
    </row>
    <row r="18">
      <c r="I18" s="19">
        <f>IFERROR(XLOOKUP(D18,'2. CDM to BDE Mapping'!$B:$B,'2. CDM to BDE Mapping'!$A:$A,""),"")</f>
        <v/>
      </c>
    </row>
    <row r="19">
      <c r="I19" s="19">
        <f>IFERROR(XLOOKUP(D19,'2. CDM to BDE Mapping'!$B:$B,'2. CDM to BDE Mapping'!$A:$A,""),"")</f>
        <v/>
      </c>
    </row>
    <row r="20">
      <c r="I20" s="19">
        <f>IFERROR(XLOOKUP(D20,'2. CDM to BDE Mapping'!$B:$B,'2. CDM to BDE Mapping'!$A:$A,""),"")</f>
        <v/>
      </c>
    </row>
    <row r="21">
      <c r="I21" s="19">
        <f>IFERROR(XLOOKUP(D21,'2. CDM to BDE Mapping'!$B:$B,'2. CDM to BDE Mapping'!$A:$A,""),"")</f>
        <v/>
      </c>
    </row>
    <row r="22">
      <c r="I22" s="19">
        <f>IFERROR(XLOOKUP(D22,'2. CDM to BDE Mapping'!$B:$B,'2. CDM to BDE Mapping'!$A:$A,""),"")</f>
        <v/>
      </c>
    </row>
    <row r="23">
      <c r="I23" s="19">
        <f>IFERROR(XLOOKUP(D23,'2. CDM to BDE Mapping'!$B:$B,'2. CDM to BDE Mapping'!$A:$A,""),"")</f>
        <v/>
      </c>
    </row>
    <row r="24">
      <c r="I24" s="19">
        <f>IFERROR(XLOOKUP(D24,'2. CDM to BDE Mapping'!$B:$B,'2. CDM to BDE Mapping'!$A:$A,""),"")</f>
        <v/>
      </c>
    </row>
    <row r="25">
      <c r="I25" s="19">
        <f>IFERROR(XLOOKUP(D25,'2. CDM to BDE Mapping'!$B:$B,'2. CDM to BDE Mapping'!$A:$A,""),"")</f>
        <v/>
      </c>
    </row>
    <row r="26">
      <c r="I26" s="19">
        <f>IFERROR(XLOOKUP(D26,'2. CDM to BDE Mapping'!$B:$B,'2. CDM to BDE Mapping'!$A:$A,""),"")</f>
        <v/>
      </c>
    </row>
    <row r="27">
      <c r="I27" s="19">
        <f>IFERROR(XLOOKUP(D27,'2. CDM to BDE Mapping'!$B:$B,'2. CDM to BDE Mapping'!$A:$A,""),"")</f>
        <v/>
      </c>
    </row>
    <row r="28">
      <c r="I28" s="19">
        <f>IFERROR(XLOOKUP(D28,'2. CDM to BDE Mapping'!$B:$B,'2. CDM to BDE Mapping'!$A:$A,""),"")</f>
        <v/>
      </c>
    </row>
    <row r="29">
      <c r="I29" s="19">
        <f>IFERROR(XLOOKUP(D29,'2. CDM to BDE Mapping'!$B:$B,'2. CDM to BDE Mapping'!$A:$A,""),"")</f>
        <v/>
      </c>
    </row>
    <row r="30">
      <c r="I30" s="19">
        <f>IFERROR(XLOOKUP(D30,'2. CDM to BDE Mapping'!$B:$B,'2. CDM to BDE Mapping'!$A:$A,""),"")</f>
        <v/>
      </c>
    </row>
    <row r="31">
      <c r="I31" s="19">
        <f>IFERROR(XLOOKUP(D31,'2. CDM to BDE Mapping'!$B:$B,'2. CDM to BDE Mapping'!$A:$A,""),"")</f>
        <v/>
      </c>
    </row>
    <row r="32">
      <c r="I32" s="19">
        <f>IFERROR(XLOOKUP(D32,'2. CDM to BDE Mapping'!$B:$B,'2. CDM to BDE Mapping'!$A:$A,""),"")</f>
        <v/>
      </c>
    </row>
    <row r="33">
      <c r="I33" s="19">
        <f>IFERROR(XLOOKUP(D33,'2. CDM to BDE Mapping'!$B:$B,'2. CDM to BDE Mapping'!$A:$A,""),"")</f>
        <v/>
      </c>
    </row>
    <row r="34">
      <c r="I34" s="19">
        <f>IFERROR(XLOOKUP(D34,'2. CDM to BDE Mapping'!$B:$B,'2. CDM to BDE Mapping'!$A:$A,""),"")</f>
        <v/>
      </c>
    </row>
    <row r="35">
      <c r="I35" s="19">
        <f>IFERROR(XLOOKUP(D35,'2. CDM to BDE Mapping'!$B:$B,'2. CDM to BDE Mapping'!$A:$A,""),"")</f>
        <v/>
      </c>
    </row>
    <row r="36">
      <c r="I36" s="19">
        <f>IFERROR(XLOOKUP(D36,'2. CDM to BDE Mapping'!$B:$B,'2. CDM to BDE Mapping'!$A:$A,""),"")</f>
        <v/>
      </c>
    </row>
    <row r="37">
      <c r="I37" s="19">
        <f>IFERROR(XLOOKUP(D37,'2. CDM to BDE Mapping'!$B:$B,'2. CDM to BDE Mapping'!$A:$A,""),"")</f>
        <v/>
      </c>
    </row>
    <row r="38">
      <c r="I38" s="19">
        <f>IFERROR(XLOOKUP(D38,'2. CDM to BDE Mapping'!$B:$B,'2. CDM to BDE Mapping'!$A:$A,""),"")</f>
        <v/>
      </c>
    </row>
    <row r="39">
      <c r="I39" s="19">
        <f>IFERROR(XLOOKUP(D39,'2. CDM to BDE Mapping'!$B:$B,'2. CDM to BDE Mapping'!$A:$A,""),"")</f>
        <v/>
      </c>
    </row>
    <row r="40">
      <c r="I40" s="19">
        <f>IFERROR(XLOOKUP(D40,'2. CDM to BDE Mapping'!$B:$B,'2. CDM to BDE Mapping'!$A:$A,""),"")</f>
        <v/>
      </c>
    </row>
    <row r="41">
      <c r="I41" s="19">
        <f>IFERROR(XLOOKUP(D41,'2. CDM to BDE Mapping'!$B:$B,'2. CDM to BDE Mapping'!$A:$A,""),"")</f>
        <v/>
      </c>
    </row>
    <row r="42">
      <c r="I42" s="19">
        <f>IFERROR(XLOOKUP(D42,'2. CDM to BDE Mapping'!$B:$B,'2. CDM to BDE Mapping'!$A:$A,""),"")</f>
        <v/>
      </c>
    </row>
    <row r="43">
      <c r="I43" s="19">
        <f>IFERROR(XLOOKUP(D43,'2. CDM to BDE Mapping'!$B:$B,'2. CDM to BDE Mapping'!$A:$A,""),"")</f>
        <v/>
      </c>
    </row>
    <row r="44">
      <c r="I44" s="19">
        <f>IFERROR(XLOOKUP(D44,'2. CDM to BDE Mapping'!$B:$B,'2. CDM to BDE Mapping'!$A:$A,""),"")</f>
        <v/>
      </c>
    </row>
    <row r="45">
      <c r="I45" s="19">
        <f>IFERROR(XLOOKUP(D45,'2. CDM to BDE Mapping'!$B:$B,'2. CDM to BDE Mapping'!$A:$A,""),"")</f>
        <v/>
      </c>
    </row>
    <row r="46">
      <c r="I46" s="19">
        <f>IFERROR(XLOOKUP(D46,'2. CDM to BDE Mapping'!$B:$B,'2. CDM to BDE Mapping'!$A:$A,""),"")</f>
        <v/>
      </c>
    </row>
    <row r="47">
      <c r="I47" s="19">
        <f>IFERROR(XLOOKUP(D47,'2. CDM to BDE Mapping'!$B:$B,'2. CDM to BDE Mapping'!$A:$A,""),"")</f>
        <v/>
      </c>
    </row>
    <row r="48">
      <c r="I48" s="19">
        <f>IFERROR(XLOOKUP(D48,'2. CDM to BDE Mapping'!$B:$B,'2. CDM to BDE Mapping'!$A:$A,""),"")</f>
        <v/>
      </c>
    </row>
    <row r="49">
      <c r="I49" s="19">
        <f>IFERROR(XLOOKUP(D49,'2. CDM to BDE Mapping'!$B:$B,'2. CDM to BDE Mapping'!$A:$A,""),"")</f>
        <v/>
      </c>
    </row>
    <row r="50">
      <c r="I50" s="19">
        <f>IFERROR(XLOOKUP(D50,'2. CDM to BDE Mapping'!$B:$B,'2. CDM to BDE Mapping'!$A:$A,""),"")</f>
        <v/>
      </c>
    </row>
    <row r="51">
      <c r="I51" s="19">
        <f>IFERROR(XLOOKUP(D51,'2. CDM to BDE Mapping'!$B:$B,'2. CDM to BDE Mapping'!$A:$A,""),"")</f>
        <v/>
      </c>
    </row>
    <row r="52">
      <c r="I52" s="19">
        <f>IFERROR(XLOOKUP(D52,'2. CDM to BDE Mapping'!$B:$B,'2. CDM to BDE Mapping'!$A:$A,""),"")</f>
        <v/>
      </c>
    </row>
    <row r="53">
      <c r="I53" s="19">
        <f>IFERROR(XLOOKUP(D53,'2. CDM to BDE Mapping'!$B:$B,'2. CDM to BDE Mapping'!$A:$A,""),"")</f>
        <v/>
      </c>
    </row>
    <row r="54">
      <c r="I54" s="19">
        <f>IFERROR(XLOOKUP(D54,'2. CDM to BDE Mapping'!$B:$B,'2. CDM to BDE Mapping'!$A:$A,""),"")</f>
        <v/>
      </c>
    </row>
    <row r="55">
      <c r="I55" s="19">
        <f>IFERROR(XLOOKUP(D55,'2. CDM to BDE Mapping'!$B:$B,'2. CDM to BDE Mapping'!$A:$A,""),"")</f>
        <v/>
      </c>
    </row>
    <row r="56">
      <c r="I56" s="19">
        <f>IFERROR(XLOOKUP(D56,'2. CDM to BDE Mapping'!$B:$B,'2. CDM to BDE Mapping'!$A:$A,""),"")</f>
        <v/>
      </c>
    </row>
    <row r="57">
      <c r="I57" s="19">
        <f>IFERROR(XLOOKUP(D57,'2. CDM to BDE Mapping'!$B:$B,'2. CDM to BDE Mapping'!$A:$A,""),"")</f>
        <v/>
      </c>
    </row>
    <row r="58">
      <c r="I58" s="19">
        <f>IFERROR(XLOOKUP(D58,'2. CDM to BDE Mapping'!$B:$B,'2. CDM to BDE Mapping'!$A:$A,""),"")</f>
        <v/>
      </c>
    </row>
    <row r="59">
      <c r="I59" s="19">
        <f>IFERROR(XLOOKUP(D59,'2. CDM to BDE Mapping'!$B:$B,'2. CDM to BDE Mapping'!$A:$A,""),"")</f>
        <v/>
      </c>
    </row>
    <row r="60">
      <c r="I60" s="19">
        <f>IFERROR(XLOOKUP(D60,'2. CDM to BDE Mapping'!$B:$B,'2. CDM to BDE Mapping'!$A:$A,""),"")</f>
        <v/>
      </c>
    </row>
    <row r="61">
      <c r="I61" s="19">
        <f>IFERROR(XLOOKUP(D61,'2. CDM to BDE Mapping'!$B:$B,'2. CDM to BDE Mapping'!$A:$A,""),"")</f>
        <v/>
      </c>
    </row>
    <row r="62">
      <c r="I62" s="19">
        <f>IFERROR(XLOOKUP(D62,'2. CDM to BDE Mapping'!$B:$B,'2. CDM to BDE Mapping'!$A:$A,""),"")</f>
        <v/>
      </c>
    </row>
    <row r="63">
      <c r="I63" s="19">
        <f>IFERROR(XLOOKUP(D63,'2. CDM to BDE Mapping'!$B:$B,'2. CDM to BDE Mapping'!$A:$A,""),"")</f>
        <v/>
      </c>
    </row>
    <row r="64">
      <c r="I64" s="19">
        <f>IFERROR(XLOOKUP(D64,'2. CDM to BDE Mapping'!$B:$B,'2. CDM to BDE Mapping'!$A:$A,""),"")</f>
        <v/>
      </c>
    </row>
    <row r="65">
      <c r="I65" s="19">
        <f>IFERROR(XLOOKUP(D65,'2. CDM to BDE Mapping'!$B:$B,'2. CDM to BDE Mapping'!$A:$A,""),"")</f>
        <v/>
      </c>
    </row>
    <row r="66">
      <c r="I66" s="19">
        <f>IFERROR(XLOOKUP(D66,'2. CDM to BDE Mapping'!$B:$B,'2. CDM to BDE Mapping'!$A:$A,""),"")</f>
        <v/>
      </c>
    </row>
    <row r="67">
      <c r="I67" s="19">
        <f>IFERROR(XLOOKUP(D67,'2. CDM to BDE Mapping'!$B:$B,'2. CDM to BDE Mapping'!$A:$A,""),"")</f>
        <v/>
      </c>
    </row>
    <row r="68">
      <c r="I68" s="19">
        <f>IFERROR(XLOOKUP(D68,'2. CDM to BDE Mapping'!$B:$B,'2. CDM to BDE Mapping'!$A:$A,""),"")</f>
        <v/>
      </c>
    </row>
    <row r="69">
      <c r="I69" s="19">
        <f>IFERROR(XLOOKUP(D69,'2. CDM to BDE Mapping'!$B:$B,'2. CDM to BDE Mapping'!$A:$A,""),"")</f>
        <v/>
      </c>
    </row>
    <row r="70">
      <c r="I70" s="19">
        <f>IFERROR(XLOOKUP(D70,'2. CDM to BDE Mapping'!$B:$B,'2. CDM to BDE Mapping'!$A:$A,""),"")</f>
        <v/>
      </c>
    </row>
    <row r="71">
      <c r="I71" s="19">
        <f>IFERROR(XLOOKUP(D71,'2. CDM to BDE Mapping'!$B:$B,'2. CDM to BDE Mapping'!$A:$A,""),"")</f>
        <v/>
      </c>
    </row>
    <row r="72">
      <c r="I72" s="19">
        <f>IFERROR(XLOOKUP(D72,'2. CDM to BDE Mapping'!$B:$B,'2. CDM to BDE Mapping'!$A:$A,""),"")</f>
        <v/>
      </c>
    </row>
    <row r="73">
      <c r="I73" s="19">
        <f>IFERROR(XLOOKUP(D73,'2. CDM to BDE Mapping'!$B:$B,'2. CDM to BDE Mapping'!$A:$A,""),"")</f>
        <v/>
      </c>
    </row>
    <row r="74">
      <c r="I74" s="19">
        <f>IFERROR(XLOOKUP(D74,'2. CDM to BDE Mapping'!$B:$B,'2. CDM to BDE Mapping'!$A:$A,""),"")</f>
        <v/>
      </c>
    </row>
    <row r="75">
      <c r="I75" s="19">
        <f>IFERROR(XLOOKUP(D75,'2. CDM to BDE Mapping'!$B:$B,'2. CDM to BDE Mapping'!$A:$A,""),"")</f>
        <v/>
      </c>
    </row>
    <row r="76">
      <c r="I76" s="19">
        <f>IFERROR(XLOOKUP(D76,'2. CDM to BDE Mapping'!$B:$B,'2. CDM to BDE Mapping'!$A:$A,""),"")</f>
        <v/>
      </c>
    </row>
    <row r="77">
      <c r="I77" s="19">
        <f>IFERROR(XLOOKUP(D77,'2. CDM to BDE Mapping'!$B:$B,'2. CDM to BDE Mapping'!$A:$A,""),"")</f>
        <v/>
      </c>
    </row>
    <row r="78">
      <c r="I78" s="19">
        <f>IFERROR(XLOOKUP(D78,'2. CDM to BDE Mapping'!$B:$B,'2. CDM to BDE Mapping'!$A:$A,""),"")</f>
        <v/>
      </c>
    </row>
    <row r="79">
      <c r="I79" s="19">
        <f>IFERROR(XLOOKUP(D79,'2. CDM to BDE Mapping'!$B:$B,'2. CDM to BDE Mapping'!$A:$A,""),"")</f>
        <v/>
      </c>
    </row>
    <row r="80">
      <c r="I80" s="19">
        <f>IFERROR(XLOOKUP(D80,'2. CDM to BDE Mapping'!$B:$B,'2. CDM to BDE Mapping'!$A:$A,""),"")</f>
        <v/>
      </c>
    </row>
    <row r="81">
      <c r="I81" s="19">
        <f>IFERROR(XLOOKUP(D81,'2. CDM to BDE Mapping'!$B:$B,'2. CDM to BDE Mapping'!$A:$A,""),"")</f>
        <v/>
      </c>
    </row>
    <row r="82">
      <c r="I82" s="19">
        <f>IFERROR(XLOOKUP(D82,'2. CDM to BDE Mapping'!$B:$B,'2. CDM to BDE Mapping'!$A:$A,""),"")</f>
        <v/>
      </c>
    </row>
    <row r="83">
      <c r="I83" s="19">
        <f>IFERROR(XLOOKUP(D83,'2. CDM to BDE Mapping'!$B:$B,'2. CDM to BDE Mapping'!$A:$A,""),"")</f>
        <v/>
      </c>
    </row>
    <row r="84">
      <c r="I84" s="19">
        <f>IFERROR(XLOOKUP(D84,'2. CDM to BDE Mapping'!$B:$B,'2. CDM to BDE Mapping'!$A:$A,""),"")</f>
        <v/>
      </c>
    </row>
    <row r="85">
      <c r="I85" s="19">
        <f>IFERROR(XLOOKUP(D85,'2. CDM to BDE Mapping'!$B:$B,'2. CDM to BDE Mapping'!$A:$A,""),"")</f>
        <v/>
      </c>
    </row>
    <row r="86">
      <c r="I86" s="19">
        <f>IFERROR(XLOOKUP(D86,'2. CDM to BDE Mapping'!$B:$B,'2. CDM to BDE Mapping'!$A:$A,""),"")</f>
        <v/>
      </c>
    </row>
    <row r="87">
      <c r="I87" s="19">
        <f>IFERROR(XLOOKUP(D87,'2. CDM to BDE Mapping'!$B:$B,'2. CDM to BDE Mapping'!$A:$A,""),"")</f>
        <v/>
      </c>
    </row>
    <row r="88">
      <c r="I88" s="19">
        <f>IFERROR(XLOOKUP(D88,'2. CDM to BDE Mapping'!$B:$B,'2. CDM to BDE Mapping'!$A:$A,""),"")</f>
        <v/>
      </c>
    </row>
    <row r="89">
      <c r="I89" s="19">
        <f>IFERROR(XLOOKUP(D89,'2. CDM to BDE Mapping'!$B:$B,'2. CDM to BDE Mapping'!$A:$A,""),"")</f>
        <v/>
      </c>
    </row>
    <row r="90">
      <c r="I90" s="19">
        <f>IFERROR(XLOOKUP(D90,'2. CDM to BDE Mapping'!$B:$B,'2. CDM to BDE Mapping'!$A:$A,""),"")</f>
        <v/>
      </c>
    </row>
    <row r="91">
      <c r="I91" s="19">
        <f>IFERROR(XLOOKUP(D91,'2. CDM to BDE Mapping'!$B:$B,'2. CDM to BDE Mapping'!$A:$A,""),"")</f>
        <v/>
      </c>
    </row>
    <row r="92">
      <c r="I92" s="19">
        <f>IFERROR(XLOOKUP(D92,'2. CDM to BDE Mapping'!$B:$B,'2. CDM to BDE Mapping'!$A:$A,""),"")</f>
        <v/>
      </c>
    </row>
    <row r="93">
      <c r="I93" s="19">
        <f>IFERROR(XLOOKUP(D93,'2. CDM to BDE Mapping'!$B:$B,'2. CDM to BDE Mapping'!$A:$A,""),"")</f>
        <v/>
      </c>
    </row>
    <row r="94">
      <c r="I94" s="19">
        <f>IFERROR(XLOOKUP(D94,'2. CDM to BDE Mapping'!$B:$B,'2. CDM to BDE Mapping'!$A:$A,""),"")</f>
        <v/>
      </c>
    </row>
    <row r="95">
      <c r="I95" s="19">
        <f>IFERROR(XLOOKUP(D95,'2. CDM to BDE Mapping'!$B:$B,'2. CDM to BDE Mapping'!$A:$A,""),"")</f>
        <v/>
      </c>
    </row>
    <row r="96">
      <c r="I96" s="19">
        <f>IFERROR(XLOOKUP(D96,'2. CDM to BDE Mapping'!$B:$B,'2. CDM to BDE Mapping'!$A:$A,""),"")</f>
        <v/>
      </c>
    </row>
    <row r="97">
      <c r="I97" s="19">
        <f>IFERROR(XLOOKUP(D97,'2. CDM to BDE Mapping'!$B:$B,'2. CDM to BDE Mapping'!$A:$A,""),"")</f>
        <v/>
      </c>
    </row>
    <row r="98">
      <c r="I98" s="19">
        <f>IFERROR(XLOOKUP(D98,'2. CDM to BDE Mapping'!$B:$B,'2. CDM to BDE Mapping'!$A:$A,""),"")</f>
        <v/>
      </c>
    </row>
    <row r="99">
      <c r="I99" s="19">
        <f>IFERROR(XLOOKUP(D99,'2. CDM to BDE Mapping'!$B:$B,'2. CDM to BDE Mapping'!$A:$A,""),"")</f>
        <v/>
      </c>
    </row>
    <row r="100">
      <c r="I100" s="19">
        <f>IFERROR(XLOOKUP(D100,'2. CDM to BDE Mapping'!$B:$B,'2. CDM to BDE Mapping'!$A:$A,""),"")</f>
        <v/>
      </c>
    </row>
    <row r="101">
      <c r="I101" s="19">
        <f>IFERROR(XLOOKUP(D101,'2. CDM to BDE Mapping'!$B:$B,'2. CDM to BDE Mapping'!$A:$A,""),"")</f>
        <v/>
      </c>
    </row>
    <row r="102">
      <c r="I102" s="19">
        <f>IFERROR(XLOOKUP(D102,'2. CDM to BDE Mapping'!$B:$B,'2. CDM to BDE Mapping'!$A:$A,""),"")</f>
        <v/>
      </c>
    </row>
    <row r="103">
      <c r="I103" s="19">
        <f>IFERROR(XLOOKUP(D103,'2. CDM to BDE Mapping'!$B:$B,'2. CDM to BDE Mapping'!$A:$A,""),"")</f>
        <v/>
      </c>
    </row>
    <row r="104">
      <c r="I104" s="19">
        <f>IFERROR(XLOOKUP(D104,'2. CDM to BDE Mapping'!$B:$B,'2. CDM to BDE Mapping'!$A:$A,""),"")</f>
        <v/>
      </c>
    </row>
    <row r="105">
      <c r="I105" s="19">
        <f>IFERROR(XLOOKUP(D105,'2. CDM to BDE Mapping'!$B:$B,'2. CDM to BDE Mapping'!$A:$A,""),"")</f>
        <v/>
      </c>
    </row>
    <row r="106">
      <c r="I106" s="19">
        <f>IFERROR(XLOOKUP(D106,'2. CDM to BDE Mapping'!$B:$B,'2. CDM to BDE Mapping'!$A:$A,""),"")</f>
        <v/>
      </c>
    </row>
    <row r="107">
      <c r="I107" s="19">
        <f>IFERROR(XLOOKUP(D107,'2. CDM to BDE Mapping'!$B:$B,'2. CDM to BDE Mapping'!$A:$A,""),"")</f>
        <v/>
      </c>
    </row>
    <row r="108">
      <c r="I108" s="19">
        <f>IFERROR(XLOOKUP(D108,'2. CDM to BDE Mapping'!$B:$B,'2. CDM to BDE Mapping'!$A:$A,""),"")</f>
        <v/>
      </c>
    </row>
    <row r="109">
      <c r="I109" s="19">
        <f>IFERROR(XLOOKUP(D109,'2. CDM to BDE Mapping'!$B:$B,'2. CDM to BDE Mapping'!$A:$A,""),"")</f>
        <v/>
      </c>
    </row>
    <row r="110">
      <c r="I110" s="19">
        <f>IFERROR(XLOOKUP(D110,'2. CDM to BDE Mapping'!$B:$B,'2. CDM to BDE Mapping'!$A:$A,""),"")</f>
        <v/>
      </c>
    </row>
    <row r="111">
      <c r="I111" s="19">
        <f>IFERROR(XLOOKUP(D111,'2. CDM to BDE Mapping'!$B:$B,'2. CDM to BDE Mapping'!$A:$A,""),"")</f>
        <v/>
      </c>
    </row>
    <row r="112">
      <c r="I112" s="19">
        <f>IFERROR(XLOOKUP(D112,'2. CDM to BDE Mapping'!$B:$B,'2. CDM to BDE Mapping'!$A:$A,""),"")</f>
        <v/>
      </c>
    </row>
    <row r="113">
      <c r="I113" s="19">
        <f>IFERROR(XLOOKUP(D113,'2. CDM to BDE Mapping'!$B:$B,'2. CDM to BDE Mapping'!$A:$A,""),"")</f>
        <v/>
      </c>
    </row>
    <row r="114">
      <c r="I114" s="19">
        <f>IFERROR(XLOOKUP(D114,'2. CDM to BDE Mapping'!$B:$B,'2. CDM to BDE Mapping'!$A:$A,""),"")</f>
        <v/>
      </c>
    </row>
    <row r="115">
      <c r="I115" s="19">
        <f>IFERROR(XLOOKUP(D115,'2. CDM to BDE Mapping'!$B:$B,'2. CDM to BDE Mapping'!$A:$A,""),"")</f>
        <v/>
      </c>
    </row>
    <row r="116">
      <c r="I116" s="19">
        <f>IFERROR(XLOOKUP(D116,'2. CDM to BDE Mapping'!$B:$B,'2. CDM to BDE Mapping'!$A:$A,""),"")</f>
        <v/>
      </c>
    </row>
    <row r="117">
      <c r="I117" s="19">
        <f>IFERROR(XLOOKUP(D117,'2. CDM to BDE Mapping'!$B:$B,'2. CDM to BDE Mapping'!$A:$A,""),"")</f>
        <v/>
      </c>
    </row>
    <row r="118">
      <c r="I118" s="19">
        <f>IFERROR(XLOOKUP(D118,'2. CDM to BDE Mapping'!$B:$B,'2. CDM to BDE Mapping'!$A:$A,""),"")</f>
        <v/>
      </c>
    </row>
    <row r="119">
      <c r="I119" s="19">
        <f>IFERROR(XLOOKUP(D119,'2. CDM to BDE Mapping'!$B:$B,'2. CDM to BDE Mapping'!$A:$A,""),"")</f>
        <v/>
      </c>
    </row>
    <row r="120">
      <c r="I120" s="19">
        <f>IFERROR(XLOOKUP(D120,'2. CDM to BDE Mapping'!$B:$B,'2. CDM to BDE Mapping'!$A:$A,""),"")</f>
        <v/>
      </c>
    </row>
    <row r="121">
      <c r="I121" s="19">
        <f>IFERROR(XLOOKUP(D121,'2. CDM to BDE Mapping'!$B:$B,'2. CDM to BDE Mapping'!$A:$A,""),"")</f>
        <v/>
      </c>
    </row>
    <row r="122">
      <c r="I122" s="19">
        <f>IFERROR(XLOOKUP(D122,'2. CDM to BDE Mapping'!$B:$B,'2. CDM to BDE Mapping'!$A:$A,""),"")</f>
        <v/>
      </c>
    </row>
    <row r="123">
      <c r="I123" s="19">
        <f>IFERROR(XLOOKUP(D123,'2. CDM to BDE Mapping'!$B:$B,'2. CDM to BDE Mapping'!$A:$A,""),"")</f>
        <v/>
      </c>
    </row>
    <row r="124">
      <c r="I124" s="19">
        <f>IFERROR(XLOOKUP(D124,'2. CDM to BDE Mapping'!$B:$B,'2. CDM to BDE Mapping'!$A:$A,""),"")</f>
        <v/>
      </c>
    </row>
    <row r="125">
      <c r="I125" s="19">
        <f>IFERROR(XLOOKUP(D125,'2. CDM to BDE Mapping'!$B:$B,'2. CDM to BDE Mapping'!$A:$A,""),"")</f>
        <v/>
      </c>
    </row>
    <row r="126">
      <c r="I126" s="19">
        <f>IFERROR(XLOOKUP(D126,'2. CDM to BDE Mapping'!$B:$B,'2. CDM to BDE Mapping'!$A:$A,""),"")</f>
        <v/>
      </c>
    </row>
    <row r="127">
      <c r="I127" s="19">
        <f>IFERROR(XLOOKUP(D127,'2. CDM to BDE Mapping'!$B:$B,'2. CDM to BDE Mapping'!$A:$A,""),"")</f>
        <v/>
      </c>
    </row>
    <row r="128">
      <c r="I128" s="19">
        <f>IFERROR(XLOOKUP(D128,'2. CDM to BDE Mapping'!$B:$B,'2. CDM to BDE Mapping'!$A:$A,""),"")</f>
        <v/>
      </c>
    </row>
    <row r="129">
      <c r="I129" s="19">
        <f>IFERROR(XLOOKUP(D129,'2. CDM to BDE Mapping'!$B:$B,'2. CDM to BDE Mapping'!$A:$A,""),"")</f>
        <v/>
      </c>
    </row>
    <row r="130">
      <c r="I130" s="19">
        <f>IFERROR(XLOOKUP(D130,'2. CDM to BDE Mapping'!$B:$B,'2. CDM to BDE Mapping'!$A:$A,""),"")</f>
        <v/>
      </c>
    </row>
    <row r="131">
      <c r="I131" s="19">
        <f>IFERROR(XLOOKUP(D131,'2. CDM to BDE Mapping'!$B:$B,'2. CDM to BDE Mapping'!$A:$A,""),"")</f>
        <v/>
      </c>
    </row>
    <row r="132">
      <c r="I132" s="19">
        <f>IFERROR(XLOOKUP(D132,'2. CDM to BDE Mapping'!$B:$B,'2. CDM to BDE Mapping'!$A:$A,""),"")</f>
        <v/>
      </c>
    </row>
    <row r="133">
      <c r="I133" s="19">
        <f>IFERROR(XLOOKUP(D133,'2. CDM to BDE Mapping'!$B:$B,'2. CDM to BDE Mapping'!$A:$A,""),"")</f>
        <v/>
      </c>
    </row>
    <row r="134">
      <c r="I134" s="19">
        <f>IFERROR(XLOOKUP(D134,'2. CDM to BDE Mapping'!$B:$B,'2. CDM to BDE Mapping'!$A:$A,""),"")</f>
        <v/>
      </c>
    </row>
    <row r="135">
      <c r="I135" s="19">
        <f>IFERROR(XLOOKUP(D135,'2. CDM to BDE Mapping'!$B:$B,'2. CDM to BDE Mapping'!$A:$A,""),"")</f>
        <v/>
      </c>
    </row>
    <row r="136">
      <c r="I136" s="19">
        <f>IFERROR(XLOOKUP(D136,'2. CDM to BDE Mapping'!$B:$B,'2. CDM to BDE Mapping'!$A:$A,""),"")</f>
        <v/>
      </c>
    </row>
    <row r="137">
      <c r="I137" s="19">
        <f>IFERROR(XLOOKUP(D137,'2. CDM to BDE Mapping'!$B:$B,'2. CDM to BDE Mapping'!$A:$A,""),"")</f>
        <v/>
      </c>
    </row>
    <row r="138">
      <c r="I138" s="19">
        <f>IFERROR(XLOOKUP(D138,'2. CDM to BDE Mapping'!$B:$B,'2. CDM to BDE Mapping'!$A:$A,""),"")</f>
        <v/>
      </c>
    </row>
    <row r="139">
      <c r="I139" s="19">
        <f>IFERROR(XLOOKUP(D139,'2. CDM to BDE Mapping'!$B:$B,'2. CDM to BDE Mapping'!$A:$A,""),"")</f>
        <v/>
      </c>
    </row>
    <row r="140">
      <c r="I140" s="19">
        <f>IFERROR(XLOOKUP(D140,'2. CDM to BDE Mapping'!$B:$B,'2. CDM to BDE Mapping'!$A:$A,""),"")</f>
        <v/>
      </c>
    </row>
    <row r="141">
      <c r="I141" s="19">
        <f>IFERROR(XLOOKUP(D141,'2. CDM to BDE Mapping'!$B:$B,'2. CDM to BDE Mapping'!$A:$A,""),"")</f>
        <v/>
      </c>
    </row>
    <row r="142">
      <c r="I142" s="19">
        <f>IFERROR(XLOOKUP(D142,'2. CDM to BDE Mapping'!$B:$B,'2. CDM to BDE Mapping'!$A:$A,""),"")</f>
        <v/>
      </c>
    </row>
    <row r="143">
      <c r="I143" s="19">
        <f>IFERROR(XLOOKUP(D143,'2. CDM to BDE Mapping'!$B:$B,'2. CDM to BDE Mapping'!$A:$A,""),"")</f>
        <v/>
      </c>
    </row>
    <row r="144">
      <c r="I144" s="19">
        <f>IFERROR(XLOOKUP(D144,'2. CDM to BDE Mapping'!$B:$B,'2. CDM to BDE Mapping'!$A:$A,""),"")</f>
        <v/>
      </c>
    </row>
    <row r="145">
      <c r="I145" s="19">
        <f>IFERROR(XLOOKUP(D145,'2. CDM to BDE Mapping'!$B:$B,'2. CDM to BDE Mapping'!$A:$A,""),"")</f>
        <v/>
      </c>
    </row>
    <row r="146">
      <c r="I146" s="19">
        <f>IFERROR(XLOOKUP(D146,'2. CDM to BDE Mapping'!$B:$B,'2. CDM to BDE Mapping'!$A:$A,""),"")</f>
        <v/>
      </c>
    </row>
    <row r="147">
      <c r="I147" s="19">
        <f>IFERROR(XLOOKUP(D147,'2. CDM to BDE Mapping'!$B:$B,'2. CDM to BDE Mapping'!$A:$A,""),"")</f>
        <v/>
      </c>
    </row>
    <row r="148">
      <c r="I148" s="19">
        <f>IFERROR(XLOOKUP(D148,'2. CDM to BDE Mapping'!$B:$B,'2. CDM to BDE Mapping'!$A:$A,""),"")</f>
        <v/>
      </c>
    </row>
    <row r="149">
      <c r="I149" s="19">
        <f>IFERROR(XLOOKUP(D149,'2. CDM to BDE Mapping'!$B:$B,'2. CDM to BDE Mapping'!$A:$A,""),"")</f>
        <v/>
      </c>
    </row>
    <row r="150">
      <c r="I150" s="19">
        <f>IFERROR(XLOOKUP(D150,'2. CDM to BDE Mapping'!$B:$B,'2. CDM to BDE Mapping'!$A:$A,""),"")</f>
        <v/>
      </c>
    </row>
    <row r="151">
      <c r="I151" s="19">
        <f>IFERROR(XLOOKUP(D151,'2. CDM to BDE Mapping'!$B:$B,'2. CDM to BDE Mapping'!$A:$A,""),"")</f>
        <v/>
      </c>
    </row>
    <row r="152">
      <c r="I152" s="19">
        <f>IFERROR(XLOOKUP(D152,'2. CDM to BDE Mapping'!$B:$B,'2. CDM to BDE Mapping'!$A:$A,""),"")</f>
        <v/>
      </c>
    </row>
    <row r="153">
      <c r="I153" s="19">
        <f>IFERROR(XLOOKUP(D153,'2. CDM to BDE Mapping'!$B:$B,'2. CDM to BDE Mapping'!$A:$A,""),"")</f>
        <v/>
      </c>
    </row>
    <row r="154">
      <c r="I154" s="19">
        <f>IFERROR(XLOOKUP(D154,'2. CDM to BDE Mapping'!$B:$B,'2. CDM to BDE Mapping'!$A:$A,""),"")</f>
        <v/>
      </c>
    </row>
    <row r="155">
      <c r="I155" s="19">
        <f>IFERROR(XLOOKUP(D155,'2. CDM to BDE Mapping'!$B:$B,'2. CDM to BDE Mapping'!$A:$A,""),"")</f>
        <v/>
      </c>
    </row>
    <row r="156">
      <c r="I156" s="19">
        <f>IFERROR(XLOOKUP(D156,'2. CDM to BDE Mapping'!$B:$B,'2. CDM to BDE Mapping'!$A:$A,""),"")</f>
        <v/>
      </c>
    </row>
    <row r="157">
      <c r="I157" s="19">
        <f>IFERROR(XLOOKUP(D157,'2. CDM to BDE Mapping'!$B:$B,'2. CDM to BDE Mapping'!$A:$A,""),"")</f>
        <v/>
      </c>
    </row>
    <row r="158">
      <c r="I158" s="19">
        <f>IFERROR(XLOOKUP(D158,'2. CDM to BDE Mapping'!$B:$B,'2. CDM to BDE Mapping'!$A:$A,""),"")</f>
        <v/>
      </c>
    </row>
    <row r="159">
      <c r="I159" s="19">
        <f>IFERROR(XLOOKUP(D159,'2. CDM to BDE Mapping'!$B:$B,'2. CDM to BDE Mapping'!$A:$A,""),"")</f>
        <v/>
      </c>
    </row>
    <row r="160">
      <c r="I160" s="19">
        <f>IFERROR(XLOOKUP(D160,'2. CDM to BDE Mapping'!$B:$B,'2. CDM to BDE Mapping'!$A:$A,""),"")</f>
        <v/>
      </c>
    </row>
    <row r="161">
      <c r="I161" s="19">
        <f>IFERROR(XLOOKUP(D161,'2. CDM to BDE Mapping'!$B:$B,'2. CDM to BDE Mapping'!$A:$A,""),"")</f>
        <v/>
      </c>
    </row>
    <row r="162">
      <c r="I162" s="19">
        <f>IFERROR(XLOOKUP(D162,'2. CDM to BDE Mapping'!$B:$B,'2. CDM to BDE Mapping'!$A:$A,""),"")</f>
        <v/>
      </c>
    </row>
    <row r="163">
      <c r="I163" s="19">
        <f>IFERROR(XLOOKUP(D163,'2. CDM to BDE Mapping'!$B:$B,'2. CDM to BDE Mapping'!$A:$A,""),"")</f>
        <v/>
      </c>
    </row>
    <row r="164">
      <c r="I164" s="19">
        <f>IFERROR(XLOOKUP(D164,'2. CDM to BDE Mapping'!$B:$B,'2. CDM to BDE Mapping'!$A:$A,""),"")</f>
        <v/>
      </c>
    </row>
    <row r="165">
      <c r="I165" s="19">
        <f>IFERROR(XLOOKUP(D165,'2. CDM to BDE Mapping'!$B:$B,'2. CDM to BDE Mapping'!$A:$A,""),"")</f>
        <v/>
      </c>
    </row>
    <row r="166">
      <c r="I166" s="19">
        <f>IFERROR(XLOOKUP(D166,'2. CDM to BDE Mapping'!$B:$B,'2. CDM to BDE Mapping'!$A:$A,""),"")</f>
        <v/>
      </c>
    </row>
    <row r="167">
      <c r="I167" s="19">
        <f>IFERROR(XLOOKUP(D167,'2. CDM to BDE Mapping'!$B:$B,'2. CDM to BDE Mapping'!$A:$A,""),"")</f>
        <v/>
      </c>
    </row>
    <row r="168">
      <c r="I168" s="19">
        <f>IFERROR(XLOOKUP(D168,'2. CDM to BDE Mapping'!$B:$B,'2. CDM to BDE Mapping'!$A:$A,""),"")</f>
        <v/>
      </c>
    </row>
    <row r="169">
      <c r="I169" s="19">
        <f>IFERROR(XLOOKUP(D169,'2. CDM to BDE Mapping'!$B:$B,'2. CDM to BDE Mapping'!$A:$A,""),"")</f>
        <v/>
      </c>
    </row>
    <row r="170">
      <c r="I170" s="19">
        <f>IFERROR(XLOOKUP(D170,'2. CDM to BDE Mapping'!$B:$B,'2. CDM to BDE Mapping'!$A:$A,""),"")</f>
        <v/>
      </c>
    </row>
    <row r="171">
      <c r="I171" s="19">
        <f>IFERROR(XLOOKUP(D171,'2. CDM to BDE Mapping'!$B:$B,'2. CDM to BDE Mapping'!$A:$A,""),"")</f>
        <v/>
      </c>
    </row>
    <row r="172">
      <c r="I172" s="19">
        <f>IFERROR(XLOOKUP(D172,'2. CDM to BDE Mapping'!$B:$B,'2. CDM to BDE Mapping'!$A:$A,""),"")</f>
        <v/>
      </c>
    </row>
    <row r="173">
      <c r="I173" s="19">
        <f>IFERROR(XLOOKUP(D173,'2. CDM to BDE Mapping'!$B:$B,'2. CDM to BDE Mapping'!$A:$A,""),"")</f>
        <v/>
      </c>
    </row>
    <row r="174">
      <c r="I174" s="19">
        <f>IFERROR(XLOOKUP(D174,'2. CDM to BDE Mapping'!$B:$B,'2. CDM to BDE Mapping'!$A:$A,""),"")</f>
        <v/>
      </c>
    </row>
    <row r="175">
      <c r="I175" s="19">
        <f>IFERROR(XLOOKUP(D175,'2. CDM to BDE Mapping'!$B:$B,'2. CDM to BDE Mapping'!$A:$A,""),"")</f>
        <v/>
      </c>
    </row>
    <row r="176">
      <c r="I176" s="19">
        <f>IFERROR(XLOOKUP(D176,'2. CDM to BDE Mapping'!$B:$B,'2. CDM to BDE Mapping'!$A:$A,""),"")</f>
        <v/>
      </c>
    </row>
    <row r="177">
      <c r="I177" s="19">
        <f>IFERROR(XLOOKUP(D177,'2. CDM to BDE Mapping'!$B:$B,'2. CDM to BDE Mapping'!$A:$A,""),"")</f>
        <v/>
      </c>
    </row>
    <row r="178">
      <c r="I178" s="19">
        <f>IFERROR(XLOOKUP(D178,'2. CDM to BDE Mapping'!$B:$B,'2. CDM to BDE Mapping'!$A:$A,""),"")</f>
        <v/>
      </c>
    </row>
    <row r="179">
      <c r="I179" s="19">
        <f>IFERROR(XLOOKUP(D179,'2. CDM to BDE Mapping'!$B:$B,'2. CDM to BDE Mapping'!$A:$A,""),"")</f>
        <v/>
      </c>
    </row>
    <row r="180">
      <c r="I180" s="19">
        <f>IFERROR(XLOOKUP(D180,'2. CDM to BDE Mapping'!$B:$B,'2. CDM to BDE Mapping'!$A:$A,""),"")</f>
        <v/>
      </c>
    </row>
    <row r="181">
      <c r="I181" s="19">
        <f>IFERROR(XLOOKUP(D181,'2. CDM to BDE Mapping'!$B:$B,'2. CDM to BDE Mapping'!$A:$A,""),"")</f>
        <v/>
      </c>
    </row>
    <row r="182">
      <c r="I182" s="19">
        <f>IFERROR(XLOOKUP(D182,'2. CDM to BDE Mapping'!$B:$B,'2. CDM to BDE Mapping'!$A:$A,""),"")</f>
        <v/>
      </c>
    </row>
    <row r="183">
      <c r="I183" s="19">
        <f>IFERROR(XLOOKUP(D183,'2. CDM to BDE Mapping'!$B:$B,'2. CDM to BDE Mapping'!$A:$A,""),"")</f>
        <v/>
      </c>
    </row>
    <row r="184">
      <c r="I184" s="19">
        <f>IFERROR(XLOOKUP(D184,'2. CDM to BDE Mapping'!$B:$B,'2. CDM to BDE Mapping'!$A:$A,""),"")</f>
        <v/>
      </c>
    </row>
    <row r="185">
      <c r="I185" s="19">
        <f>IFERROR(XLOOKUP(D185,'2. CDM to BDE Mapping'!$B:$B,'2. CDM to BDE Mapping'!$A:$A,""),"")</f>
        <v/>
      </c>
    </row>
    <row r="186">
      <c r="I186" s="19">
        <f>IFERROR(XLOOKUP(D186,'2. CDM to BDE Mapping'!$B:$B,'2. CDM to BDE Mapping'!$A:$A,""),"")</f>
        <v/>
      </c>
    </row>
    <row r="187">
      <c r="I187" s="19">
        <f>IFERROR(XLOOKUP(D187,'2. CDM to BDE Mapping'!$B:$B,'2. CDM to BDE Mapping'!$A:$A,""),"")</f>
        <v/>
      </c>
    </row>
    <row r="188">
      <c r="I188" s="19">
        <f>IFERROR(XLOOKUP(D188,'2. CDM to BDE Mapping'!$B:$B,'2. CDM to BDE Mapping'!$A:$A,""),"")</f>
        <v/>
      </c>
    </row>
    <row r="189">
      <c r="I189" s="19">
        <f>IFERROR(XLOOKUP(D189,'2. CDM to BDE Mapping'!$B:$B,'2. CDM to BDE Mapping'!$A:$A,""),"")</f>
        <v/>
      </c>
    </row>
    <row r="190">
      <c r="I190" s="19">
        <f>IFERROR(XLOOKUP(D190,'2. CDM to BDE Mapping'!$B:$B,'2. CDM to BDE Mapping'!$A:$A,""),"")</f>
        <v/>
      </c>
    </row>
    <row r="191">
      <c r="I191" s="19">
        <f>IFERROR(XLOOKUP(D191,'2. CDM to BDE Mapping'!$B:$B,'2. CDM to BDE Mapping'!$A:$A,""),"")</f>
        <v/>
      </c>
    </row>
    <row r="192">
      <c r="I192" s="19">
        <f>IFERROR(XLOOKUP(D192,'2. CDM to BDE Mapping'!$B:$B,'2. CDM to BDE Mapping'!$A:$A,""),"")</f>
        <v/>
      </c>
    </row>
    <row r="193">
      <c r="I193" s="19">
        <f>IFERROR(XLOOKUP(D193,'2. CDM to BDE Mapping'!$B:$B,'2. CDM to BDE Mapping'!$A:$A,""),"")</f>
        <v/>
      </c>
    </row>
    <row r="194">
      <c r="I194" s="19">
        <f>IFERROR(XLOOKUP(D194,'2. CDM to BDE Mapping'!$B:$B,'2. CDM to BDE Mapping'!$A:$A,""),"")</f>
        <v/>
      </c>
    </row>
    <row r="195">
      <c r="I195" s="19">
        <f>IFERROR(XLOOKUP(D195,'2. CDM to BDE Mapping'!$B:$B,'2. CDM to BDE Mapping'!$A:$A,""),"")</f>
        <v/>
      </c>
    </row>
    <row r="196">
      <c r="I196" s="19">
        <f>IFERROR(XLOOKUP(D196,'2. CDM to BDE Mapping'!$B:$B,'2. CDM to BDE Mapping'!$A:$A,""),"")</f>
        <v/>
      </c>
    </row>
    <row r="197">
      <c r="I197" s="19">
        <f>IFERROR(XLOOKUP(D197,'2. CDM to BDE Mapping'!$B:$B,'2. CDM to BDE Mapping'!$A:$A,""),"")</f>
        <v/>
      </c>
    </row>
    <row r="198">
      <c r="I198" s="19">
        <f>IFERROR(XLOOKUP(D198,'2. CDM to BDE Mapping'!$B:$B,'2. CDM to BDE Mapping'!$A:$A,""),"")</f>
        <v/>
      </c>
    </row>
    <row r="199">
      <c r="I199" s="19">
        <f>IFERROR(XLOOKUP(D199,'2. CDM to BDE Mapping'!$B:$B,'2. CDM to BDE Mapping'!$A:$A,""),"")</f>
        <v/>
      </c>
    </row>
    <row r="200">
      <c r="I200" s="19">
        <f>IFERROR(XLOOKUP(D200,'2. CDM to BDE Mapping'!$B:$B,'2. CDM to BDE Mapping'!$A:$A,""),"")</f>
        <v/>
      </c>
    </row>
  </sheetData>
  <autoFilter ref="A2:I2"/>
  <mergeCells count="1">
    <mergeCell ref="A1:I1"/>
  </mergeCells>
  <dataValidations count="4">
    <dataValidation sqref="E3:E1000" showDropDown="0" showInputMessage="0" showErrorMessage="1" allowBlank="1" errorTitle="Invalid Entry" error="Please select a valid option." type="list">
      <formula1>"High,Medium,Low"</formula1>
    </dataValidation>
    <dataValidation sqref="F3:F1000" showDropDown="0" showInputMessage="0" showErrorMessage="1" allowBlank="1" errorTitle="Invalid Entry" error="Please select a valid option." type="list">
      <formula1>"Active,Blocked - Source Gap,Blocked - Schema Gap,Complete,On Hold"</formula1>
    </dataValidation>
    <dataValidation sqref="G3:G1000" showDropDown="0" showInputMessage="0" showErrorMessage="1" allowBlank="1" errorTitle="Invalid Entry" error="Please select a valid option." type="list">
      <formula1>"None,Source Onboarding Needed,Schema Change Needed,Mapping Rule Needed"</formula1>
    </dataValidation>
    <dataValidation sqref="D3:D1000" showDropDown="0" showInputMessage="0" showErrorMessage="1" allowBlank="1" errorTitle="Invalid Entry" error="Value must match an existing entry in the source tab." type="list">
      <formula1>BDE_Names</formula1>
    </dataValidation>
  </dataValidations>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O6"/>
  <sheetViews>
    <sheetView showGridLines="0" workbookViewId="0">
      <pane ySplit="2" topLeftCell="A3" activePane="bottomLeft" state="frozen"/>
      <selection pane="bottomLeft" activeCell="A1" sqref="A1"/>
    </sheetView>
  </sheetViews>
  <sheetFormatPr baseColWidth="8" defaultRowHeight="15"/>
  <cols>
    <col width="44" customWidth="1" min="1" max="1"/>
    <col width="22" customWidth="1" min="2" max="2"/>
    <col width="24" customWidth="1" min="3" max="3"/>
    <col width="48" customWidth="1" min="4" max="4"/>
    <col width="22" customWidth="1" min="5" max="5"/>
    <col width="30" customWidth="1" min="6" max="6"/>
    <col width="30" customWidth="1" min="7" max="7"/>
    <col width="52" customWidth="1" min="8" max="8"/>
    <col width="14" customWidth="1" min="9" max="9"/>
    <col width="14" customWidth="1" min="10" max="10"/>
    <col width="22" customWidth="1" min="11" max="11"/>
    <col width="22" customWidth="1" min="12" max="12"/>
    <col width="16" customWidth="1" min="13" max="13"/>
    <col width="14" customWidth="1" min="14" max="14"/>
    <col width="52" customWidth="1" min="15" max="15"/>
  </cols>
  <sheetData>
    <row r="1" ht="30" customHeight="1">
      <c r="A1" s="27" t="inlineStr">
        <is>
          <t>Schema Change Request Log  |  Tab 5</t>
        </is>
      </c>
    </row>
    <row r="2" ht="34" customHeight="1">
      <c r="A2" s="28" t="inlineStr">
        <is>
          <t>Proposed CDM Path</t>
        </is>
      </c>
      <c r="B2" s="28" t="inlineStr">
        <is>
          <t>Request Type</t>
        </is>
      </c>
      <c r="C2" s="28" t="inlineStr">
        <is>
          <t>Consumer / Stakeholder</t>
        </is>
      </c>
      <c r="D2" s="28" t="inlineStr">
        <is>
          <t>Business Outcome Blocked</t>
        </is>
      </c>
      <c r="E2" s="28" t="inlineStr">
        <is>
          <t>Existing Schema Sufficient?</t>
        </is>
      </c>
      <c r="F2" s="28" t="inlineStr">
        <is>
          <t>Resolution Type</t>
        </is>
      </c>
      <c r="G2" s="28" t="inlineStr">
        <is>
          <t>BDE Name</t>
        </is>
      </c>
      <c r="H2" s="28" t="inlineStr">
        <is>
          <t>BDE Definition</t>
        </is>
      </c>
      <c r="I2" s="28" t="inlineStr">
        <is>
          <t>Data Type</t>
        </is>
      </c>
      <c r="J2" s="28" t="inlineStr">
        <is>
          <t>Cardinality</t>
        </is>
      </c>
      <c r="K2" s="28" t="inlineStr">
        <is>
          <t>Reusable Across Products?</t>
        </is>
      </c>
      <c r="L2" s="28" t="inlineStr">
        <is>
          <t>Proposed Owner</t>
        </is>
      </c>
      <c r="M2" s="28" t="inlineStr">
        <is>
          <t>Request Status</t>
        </is>
      </c>
      <c r="N2" s="28" t="inlineStr">
        <is>
          <t>Approval Date</t>
        </is>
      </c>
      <c r="O2" s="28" t="inlineStr">
        <is>
          <t>Decision Notes</t>
        </is>
      </c>
    </row>
    <row r="3" ht="48" customHeight="1">
      <c r="A3" s="29" t="inlineStr">
        <is>
          <t>customer.employment.annualIncomeAmount</t>
        </is>
      </c>
      <c r="B3" s="29" t="inlineStr">
        <is>
          <t>New Attribute</t>
        </is>
      </c>
      <c r="C3" s="29" t="inlineStr">
        <is>
          <t>Credit Risk</t>
        </is>
      </c>
      <c r="D3" s="29" t="inlineStr">
        <is>
          <t>Mortgage origination risk scoring cannot proceed without annual income. The scoring model is blocked at current schema coverage.</t>
        </is>
      </c>
      <c r="E3" s="29" t="inlineStr">
        <is>
          <t>No</t>
        </is>
      </c>
      <c r="F3" s="29" t="inlineStr">
        <is>
          <t>Schema Change</t>
        </is>
      </c>
      <c r="G3" s="29" t="inlineStr">
        <is>
          <t>Customer Annual Income Amount</t>
        </is>
      </c>
      <c r="H3" s="29" t="inlineStr">
        <is>
          <t>The gross annual income of a customer as declared or verified at origination, expressed in base currency.</t>
        </is>
      </c>
      <c r="I3" s="29" t="inlineStr">
        <is>
          <t>Decimal</t>
        </is>
      </c>
      <c r="J3" s="29" t="inlineStr">
        <is>
          <t>0..1</t>
        </is>
      </c>
      <c r="K3" s="29" t="inlineStr">
        <is>
          <t>Yes</t>
        </is>
      </c>
      <c r="L3" s="29" t="inlineStr">
        <is>
          <t>Finance Data</t>
        </is>
      </c>
      <c r="M3" s="29" t="inlineStr">
        <is>
          <t>Approved</t>
        </is>
      </c>
      <c r="N3" s="29" t="inlineStr">
        <is>
          <t>2026-05-14</t>
        </is>
      </c>
      <c r="O3" s="29" t="inlineStr">
        <is>
          <t>Approved by Data Governance Board. Reusable for credit, KYC, and product eligibility. Added to Tab 1 and Tab 2 as v1.1.</t>
        </is>
      </c>
    </row>
    <row r="4" ht="48" customHeight="1">
      <c r="A4" s="26" t="inlineStr">
        <is>
          <t>account.trust.adminSystem</t>
        </is>
      </c>
      <c r="B4" s="26" t="inlineStr">
        <is>
          <t>New SOR</t>
        </is>
      </c>
      <c r="C4" s="26" t="inlineStr">
        <is>
          <t>Legal</t>
        </is>
      </c>
      <c r="D4" s="26" t="inlineStr">
        <is>
          <t>Trust account regulatory reporting cannot be produced because the trust administration system has not been onboarded as a SOR.</t>
        </is>
      </c>
      <c r="E4" s="26" t="inlineStr">
        <is>
          <t>Yes</t>
        </is>
      </c>
      <c r="F4" s="26" t="inlineStr">
        <is>
          <t>Source Onboarding</t>
        </is>
      </c>
      <c r="G4" s="26" t="inlineStr"/>
      <c r="H4" s="26" t="inlineStr"/>
      <c r="I4" s="26" t="inlineStr"/>
      <c r="J4" s="26" t="inlineStr"/>
      <c r="K4" s="26" t="inlineStr"/>
      <c r="L4" s="26" t="inlineStr">
        <is>
          <t>Operations</t>
        </is>
      </c>
      <c r="M4" s="26" t="inlineStr">
        <is>
          <t>Under Review</t>
        </is>
      </c>
      <c r="N4" s="26" t="inlineStr"/>
      <c r="O4" s="26" t="inlineStr">
        <is>
          <t>WCDM schema already contains the required elements. Priority is SOR onboarding. Legal team to confirm data owner and ingestion schedule.</t>
        </is>
      </c>
    </row>
    <row r="5" ht="48" customHeight="1">
      <c r="A5" s="30" t="inlineStr">
        <is>
          <t>customer.risk.creditScoreBand</t>
        </is>
      </c>
      <c r="B5" s="30" t="inlineStr">
        <is>
          <t>New Attribute</t>
        </is>
      </c>
      <c r="C5" s="30" t="inlineStr">
        <is>
          <t>Retail Banking</t>
        </is>
      </c>
      <c r="D5" s="30" t="inlineStr">
        <is>
          <t>Personalized product recommendations require a credit risk band. No adequate approximation exists in the current schema.</t>
        </is>
      </c>
      <c r="E5" s="30" t="inlineStr">
        <is>
          <t>No</t>
        </is>
      </c>
      <c r="F5" s="30" t="inlineStr">
        <is>
          <t>Schema Change</t>
        </is>
      </c>
      <c r="G5" s="30" t="inlineStr">
        <is>
          <t>Customer Credit Score Band</t>
        </is>
      </c>
      <c r="H5" s="30" t="inlineStr">
        <is>
          <t>A standardized tier (e.g., A, B, C, D) representing the customer credit risk classification as assessed by the institution.</t>
        </is>
      </c>
      <c r="I5" s="30" t="inlineStr">
        <is>
          <t>String</t>
        </is>
      </c>
      <c r="J5" s="30" t="inlineStr">
        <is>
          <t>0..1</t>
        </is>
      </c>
      <c r="K5" s="30" t="inlineStr">
        <is>
          <t>Yes</t>
        </is>
      </c>
      <c r="L5" s="30" t="inlineStr">
        <is>
          <t>Risk</t>
        </is>
      </c>
      <c r="M5" s="30" t="inlineStr">
        <is>
          <t>Proposed</t>
        </is>
      </c>
      <c r="N5" s="30" t="inlineStr"/>
      <c r="O5" s="30" t="inlineStr">
        <is>
          <t>Under initial governance review. Confirm regulatory sensitivity and data privacy classification before approving.</t>
        </is>
      </c>
    </row>
    <row r="6" ht="48" customHeight="1">
      <c r="A6" s="29" t="inlineStr">
        <is>
          <t>customer.identity.legalEntityName</t>
        </is>
      </c>
      <c r="B6" s="29" t="inlineStr">
        <is>
          <t>Deprecation</t>
        </is>
      </c>
      <c r="C6" s="29" t="inlineStr">
        <is>
          <t>Data Governance</t>
        </is>
      </c>
      <c r="D6" s="29" t="inlineStr">
        <is>
          <t>customer.identity.legalEntityName is redundant following consolidation into customer.identity.fullName in v1.1.</t>
        </is>
      </c>
      <c r="E6" s="29" t="inlineStr">
        <is>
          <t>Yes</t>
        </is>
      </c>
      <c r="F6" s="29" t="inlineStr">
        <is>
          <t>No Action Required</t>
        </is>
      </c>
      <c r="G6" s="29" t="inlineStr">
        <is>
          <t>Customer Full Name</t>
        </is>
      </c>
      <c r="H6" s="29" t="inlineStr"/>
      <c r="I6" s="29" t="inlineStr"/>
      <c r="J6" s="29" t="inlineStr"/>
      <c r="K6" s="29" t="inlineStr"/>
      <c r="L6" s="29" t="inlineStr">
        <is>
          <t>Data Governance</t>
        </is>
      </c>
      <c r="M6" s="29" t="inlineStr">
        <is>
          <t>Approved</t>
        </is>
      </c>
      <c r="N6" s="29" t="inlineStr">
        <is>
          <t>2026-03-01</t>
        </is>
      </c>
      <c r="O6" s="29" t="inlineStr">
        <is>
          <t>Path deprecated in v1.1. Retained in Tab 1 for traceability. All downstream consumers confirmed migrated to customer.identity.fullName.</t>
        </is>
      </c>
    </row>
  </sheetData>
  <autoFilter ref="A2:O2"/>
  <mergeCells count="1">
    <mergeCell ref="A1:O1"/>
  </mergeCells>
  <dataValidations count="7">
    <dataValidation sqref="B3:B1000" showDropDown="0" showInputMessage="0" showErrorMessage="1" allowBlank="1" errorTitle="Invalid Entry" error="Please select a valid option." type="list">
      <formula1>"New Attribute,New Product Type,New SOR,Deprecation,Mapping Change"</formula1>
    </dataValidation>
    <dataValidation sqref="E3:E1000" showDropDown="0" showInputMessage="0" showErrorMessage="1" allowBlank="1" errorTitle="Invalid Entry" error="Please select a valid option." type="list">
      <formula1>"Yes,No,Partially"</formula1>
    </dataValidation>
    <dataValidation sqref="F3:F1000" showDropDown="0" showInputMessage="0" showErrorMessage="1" allowBlank="1" errorTitle="Invalid Entry" error="Please select a valid option." type="list">
      <formula1>"Schema Change,Source Onboarding,Business Rule / Derivation,No Action Required"</formula1>
    </dataValidation>
    <dataValidation sqref="I3:I1000" showDropDown="0" showInputMessage="0" showErrorMessage="1" allowBlank="1" errorTitle="Invalid Entry" error="Please select a valid option." type="list">
      <formula1>"String,Integer,Decimal,Boolean,Date,DateTime,Array,Object"</formula1>
    </dataValidation>
    <dataValidation sqref="J3:J1000" showDropDown="0" showInputMessage="0" showErrorMessage="1" allowBlank="1" errorTitle="Invalid Entry" error="Please select a valid option." type="list">
      <formula1>"1,0..1,1..N,0..N"</formula1>
    </dataValidation>
    <dataValidation sqref="K3:K1000" showDropDown="0" showInputMessage="0" showErrorMessage="1" allowBlank="1" errorTitle="Invalid Entry" error="Please select a valid option." type="list">
      <formula1>"Yes,No,Unknown"</formula1>
    </dataValidation>
    <dataValidation sqref="M3:M1000" showDropDown="0" showInputMessage="0" showErrorMessage="1" allowBlank="1" errorTitle="Invalid Entry" error="Please select a valid option." type="list">
      <formula1>"Proposed,Under Review,Approved,Rejected,Deferred"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2026-06-09T03:49:28Z</dcterms:created>
  <dcterms:modified xmlns:dcterms="http://purl.org/dc/terms/" xmlns:xsi="http://www.w3.org/2001/XMLSchema-instance" xsi:type="dcterms:W3CDTF">2026-06-09T03:49:28Z</dcterms:modified>
</cp:coreProperties>
</file>